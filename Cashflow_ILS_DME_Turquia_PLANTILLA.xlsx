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Datos contrato" sheetId="2" state="visible" r:id="rId2"/>
    <sheet name="Entradas" sheetId="3" state="visible" r:id="rId3"/>
    <sheet name="Cashflow" sheetId="4" state="visible" r:id="rId4"/>
    <sheet name="Lo Ra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C00000"/>
    </font>
    <font>
      <b val="1"/>
      <color rgb="001F4E79"/>
      <sz val="13"/>
    </font>
    <font>
      <b val="1"/>
      <color rgb="00FFFFFF"/>
    </font>
    <font>
      <b val="1"/>
    </font>
    <font>
      <i val="1"/>
      <sz val="9"/>
    </font>
    <font>
      <b val="1"/>
      <color rgb="001F4E79"/>
    </font>
    <font>
      <b val="1"/>
      <color rgb="00C00000"/>
      <sz val="13"/>
    </font>
    <font>
      <b val="1"/>
      <color rgb="00C00000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5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" fontId="0" fillId="4" borderId="1" pivotButton="0" quotePrefix="0" xfId="0"/>
    <xf numFmtId="0" fontId="6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2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CASHFLOW — Proyecto ILS/DME Turquía (DHMİ 2026/760533)</t>
        </is>
      </c>
    </row>
    <row r="2">
      <c r="A2" t="inlineStr"/>
    </row>
    <row r="3">
      <c r="A3" s="2" t="inlineStr">
        <is>
          <t>Esta es una PLANTILLA. No contiene cifras económicas inventadas.</t>
        </is>
      </c>
    </row>
    <row r="4">
      <c r="A4" t="inlineStr"/>
    </row>
    <row r="5">
      <c r="A5" t="inlineStr">
        <is>
          <t>• El MOTOR (calendario de cobros/pagos y porcentajes) sale 100% del contrato — hoja 'Datos contrato'.</t>
        </is>
      </c>
    </row>
    <row r="6">
      <c r="A6" t="inlineStr">
        <is>
          <t>• Los IMPORTES en € los pones TÚ en la hoja 'Entradas' (celdas amarillas). Son datos de GECI.</t>
        </is>
      </c>
    </row>
    <row r="7">
      <c r="A7" t="inlineStr">
        <is>
          <t>• La hoja 'Cashflow' calcula sola con fórmulas. Sin entradas, sale todo a 0 (es lo correcto).</t>
        </is>
      </c>
    </row>
    <row r="8">
      <c r="A8" t="inlineStr"/>
    </row>
    <row r="9">
      <c r="A9" t="inlineStr">
        <is>
          <t>Qué es REAL (del contrato) y qué tienes que aportar TÚ:</t>
        </is>
      </c>
    </row>
    <row r="10">
      <c r="A10" t="inlineStr"/>
    </row>
    <row r="11">
      <c r="A11" t="inlineStr">
        <is>
          <t xml:space="preserve">  REAL (no se toca):  cobros 40% embarque / 50% PAC / 10% FAC · sin anticipo · FAC = PAC + 12 meses ·</t>
        </is>
      </c>
    </row>
    <row r="12">
      <c r="A12" t="inlineStr">
        <is>
          <t xml:space="preserve">                      entrega en máx. 3 embarques en máx. 840 días · duración 1.935 días ·</t>
        </is>
      </c>
    </row>
    <row r="13">
      <c r="A13" t="inlineStr">
        <is>
          <t xml:space="preserve">                      garantía 2 años tras FAC · aval provisional 3% · aval cumplimiento 6%.</t>
        </is>
      </c>
    </row>
    <row r="14">
      <c r="A14" t="inlineStr"/>
    </row>
    <row r="15">
      <c r="A15" t="inlineStr">
        <is>
          <t xml:space="preserve">  LO PONES TÚ:        valor de la oferta · valor de cada embarque · meses hasta PAC de cada lote ·</t>
        </is>
      </c>
    </row>
    <row r="16">
      <c r="A16" t="inlineStr">
        <is>
          <t xml:space="preserve">                      coste de equipos (Indra) · coste de instalación · condiciones de pago a Indra ·</t>
        </is>
      </c>
    </row>
    <row r="17">
      <c r="A17" t="inlineStr">
        <is>
          <t xml:space="preserve">                      coste anual de avales y de financiación (te los da tu banco).</t>
        </is>
      </c>
    </row>
    <row r="18">
      <c r="A18" t="inlineStr"/>
    </row>
    <row r="19">
      <c r="A19" s="2" t="inlineStr">
        <is>
          <t>IMPORTANTE: la oferta económica de Turquía aún no existe en las carpetas del proyecto.</t>
        </is>
      </c>
    </row>
    <row r="20">
      <c r="A20" t="inlineStr">
        <is>
          <t>Mientras no tengas esos números reales, el cashflow no puede dar un importe veraz.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</cols>
  <sheetData>
    <row r="1">
      <c r="A1" s="3" t="inlineStr">
        <is>
          <t>DATOS REALES DEL CONTRATO (con referencia al documento)</t>
        </is>
      </c>
    </row>
    <row r="3">
      <c r="A3" s="4" t="inlineStr">
        <is>
          <t>Concepto</t>
        </is>
      </c>
      <c r="B3" s="4" t="inlineStr">
        <is>
          <t>Valor</t>
        </is>
      </c>
      <c r="C3" s="4" t="inlineStr">
        <is>
          <t>Fuente</t>
        </is>
      </c>
    </row>
    <row r="4">
      <c r="A4" s="5" t="inlineStr">
        <is>
          <t>Cliente</t>
        </is>
      </c>
      <c r="B4" s="6" t="inlineStr">
        <is>
          <t>DHMİ – State Airports Authority (Turquía)</t>
        </is>
      </c>
      <c r="C4" s="7" t="inlineStr">
        <is>
          <t>OBSERVACIONES / contrato</t>
        </is>
      </c>
    </row>
    <row r="5">
      <c r="A5" s="5" t="inlineStr">
        <is>
          <t>Expediente (TRN)</t>
        </is>
      </c>
      <c r="B5" s="6" t="inlineStr">
        <is>
          <t>2026/760533</t>
        </is>
      </c>
      <c r="C5" s="7" t="inlineStr">
        <is>
          <t>Pliego</t>
        </is>
      </c>
    </row>
    <row r="6">
      <c r="A6" s="5" t="inlineStr">
        <is>
          <t>Objeto</t>
        </is>
      </c>
      <c r="B6" s="6" t="inlineStr">
        <is>
          <t>21 sistemas ILS/DME + 1 LLZ/DME</t>
        </is>
      </c>
      <c r="C6" s="7" t="inlineStr">
        <is>
          <t>Birim Fiyat / contrato Art.10</t>
        </is>
      </c>
    </row>
    <row r="7">
      <c r="A7" s="5" t="inlineStr">
        <is>
          <t>Fecha límite de oferta</t>
        </is>
      </c>
      <c r="B7" s="6" t="inlineStr">
        <is>
          <t>28/07/2026 11:00</t>
        </is>
      </c>
      <c r="C7" s="7" t="inlineStr">
        <is>
          <t>OBSERVACIONES</t>
        </is>
      </c>
    </row>
    <row r="8">
      <c r="A8" s="5" t="inlineStr">
        <is>
          <t>Validez de la oferta</t>
        </is>
      </c>
      <c r="B8" s="6" t="inlineStr">
        <is>
          <t>180 días</t>
        </is>
      </c>
      <c r="C8" s="7" t="inlineStr">
        <is>
          <t>OBSERVACIONES / pliego</t>
        </is>
      </c>
    </row>
    <row r="9">
      <c r="A9" s="5" t="inlineStr">
        <is>
          <t>Moneda admitida</t>
        </is>
      </c>
      <c r="B9" s="6" t="inlineStr">
        <is>
          <t>TRY / USD / EUR</t>
        </is>
      </c>
      <c r="C9" s="7" t="inlineStr">
        <is>
          <t>Contrato Art.12.2.1</t>
        </is>
      </c>
    </row>
    <row r="10">
      <c r="A10" s="5" t="inlineStr">
        <is>
          <t>Duración del contrato</t>
        </is>
      </c>
      <c r="B10" s="6" t="inlineStr">
        <is>
          <t>1.935 días naturales</t>
        </is>
      </c>
      <c r="C10" s="7" t="inlineStr">
        <is>
          <t>Contrato Art.9.1</t>
        </is>
      </c>
    </row>
    <row r="11">
      <c r="A11" s="5" t="inlineStr">
        <is>
          <t>Plazo de entrega</t>
        </is>
      </c>
      <c r="B11" s="6" t="inlineStr">
        <is>
          <t>máx. 3 embarques en máx. 840 días</t>
        </is>
      </c>
      <c r="C11" s="7" t="inlineStr">
        <is>
          <t>Contrato Art.10.3.1</t>
        </is>
      </c>
    </row>
    <row r="12">
      <c r="A12" s="5" t="inlineStr">
        <is>
          <t>Incoterm (contratista extranjero)</t>
        </is>
      </c>
      <c r="B12" s="6" t="inlineStr">
        <is>
          <t>DPU (Delivered at Place Unloaded)</t>
        </is>
      </c>
      <c r="C12" s="7" t="inlineStr">
        <is>
          <t>Contrato Art.10.3</t>
        </is>
      </c>
    </row>
    <row r="13">
      <c r="A13" s="5" t="inlineStr">
        <is>
          <t>Cobro 1</t>
        </is>
      </c>
      <c r="B13" s="6" t="inlineStr">
        <is>
          <t>40% contra embarque (docs/inspección)</t>
        </is>
      </c>
      <c r="C13" s="7" t="inlineStr">
        <is>
          <t>Contrato Art.12.2.3</t>
        </is>
      </c>
    </row>
    <row r="14">
      <c r="A14" s="5" t="inlineStr">
        <is>
          <t>Cobro 2</t>
        </is>
      </c>
      <c r="B14" s="6" t="inlineStr">
        <is>
          <t>50% tras formación + PAC</t>
        </is>
      </c>
      <c r="C14" s="7" t="inlineStr">
        <is>
          <t>Contrato Art.12.2.3</t>
        </is>
      </c>
    </row>
    <row r="15">
      <c r="A15" s="5" t="inlineStr">
        <is>
          <t>Cobro 3</t>
        </is>
      </c>
      <c r="B15" s="6" t="inlineStr">
        <is>
          <t>10% tras FAC</t>
        </is>
      </c>
      <c r="C15" s="7" t="inlineStr">
        <is>
          <t>Contrato Art.12.2.3</t>
        </is>
      </c>
    </row>
    <row r="16">
      <c r="A16" s="5" t="inlineStr">
        <is>
          <t>Anticipo de cliente</t>
        </is>
      </c>
      <c r="B16" s="6" t="inlineStr">
        <is>
          <t>NO se paga anticipo</t>
        </is>
      </c>
      <c r="C16" s="7" t="inlineStr">
        <is>
          <t>Contrato Art.13.1</t>
        </is>
      </c>
    </row>
    <row r="17">
      <c r="A17" s="5" t="inlineStr">
        <is>
          <t>Plazo entre PAC y FAC</t>
        </is>
      </c>
      <c r="B17" s="6" t="inlineStr">
        <is>
          <t>FAC se solicita 12 meses tras PAC</t>
        </is>
      </c>
      <c r="C17" s="7" t="inlineStr">
        <is>
          <t>Contrato Art.10.3.1</t>
        </is>
      </c>
    </row>
    <row r="18">
      <c r="A18" s="5" t="inlineStr">
        <is>
          <t>Garantía</t>
        </is>
      </c>
      <c r="B18" s="6" t="inlineStr">
        <is>
          <t>2 años tras FAC</t>
        </is>
      </c>
      <c r="C18" s="7" t="inlineStr">
        <is>
          <t>Contrato Art.10.3 / 11</t>
        </is>
      </c>
    </row>
    <row r="19">
      <c r="A19" s="5" t="inlineStr">
        <is>
          <t>Revisión de precios</t>
        </is>
      </c>
      <c r="B19" s="6" t="inlineStr">
        <is>
          <t>NO (precio fijo)</t>
        </is>
      </c>
      <c r="C19" s="7" t="inlineStr">
        <is>
          <t>Contrato Art.14 / Pliego Art.43</t>
        </is>
      </c>
    </row>
    <row r="20">
      <c r="A20" s="5" t="inlineStr">
        <is>
          <t>Subcontratación</t>
        </is>
      </c>
      <c r="B20" s="6" t="inlineStr">
        <is>
          <t>NO permitida</t>
        </is>
      </c>
      <c r="C20" s="7" t="inlineStr">
        <is>
          <t>Contrato Art.15</t>
        </is>
      </c>
    </row>
    <row r="21">
      <c r="A21" s="5" t="inlineStr">
        <is>
          <t>UTE / Consorcio</t>
        </is>
      </c>
      <c r="B21" s="6" t="inlineStr">
        <is>
          <t>UTE sí; consorcios NO</t>
        </is>
      </c>
      <c r="C21" s="7" t="inlineStr">
        <is>
          <t>Pliego Art.16/22</t>
        </is>
      </c>
    </row>
    <row r="22">
      <c r="A22" s="5" t="inlineStr">
        <is>
          <t>Aval provisional (bid bond)</t>
        </is>
      </c>
      <c r="B22" s="6" t="inlineStr">
        <is>
          <t>≥ 3% del precio de oferta</t>
        </is>
      </c>
      <c r="C22" s="7" t="inlineStr">
        <is>
          <t>Pliego</t>
        </is>
      </c>
    </row>
    <row r="23">
      <c r="A23" s="5" t="inlineStr">
        <is>
          <t>Aval de cumplimiento (performance)</t>
        </is>
      </c>
      <c r="B23" s="6" t="inlineStr">
        <is>
          <t>6% del valor de contrato</t>
        </is>
      </c>
      <c r="C23" s="7" t="inlineStr">
        <is>
          <t>Pliego Art.37</t>
        </is>
      </c>
    </row>
    <row r="24">
      <c r="A24" s="5" t="inlineStr">
        <is>
          <t>Liberación aval cumplimiento</t>
        </is>
      </c>
      <c r="B24" s="6" t="inlineStr">
        <is>
          <t>½ tras PAC, ½ tras garantía</t>
        </is>
      </c>
      <c r="C24" s="7" t="inlineStr">
        <is>
          <t>Contrato Art.11.3</t>
        </is>
      </c>
    </row>
    <row r="25">
      <c r="A25" s="5" t="inlineStr">
        <is>
          <t>Pago tras acta</t>
        </is>
      </c>
      <c r="B25" s="6" t="inlineStr">
        <is>
          <t>máx. 20 días</t>
        </is>
      </c>
      <c r="C25" s="7" t="inlineStr">
        <is>
          <t>Contrato Art.12.2.2</t>
        </is>
      </c>
    </row>
    <row r="26">
      <c r="A26" s="5" t="inlineStr">
        <is>
          <t>Proveedores citados</t>
        </is>
      </c>
      <c r="B26" s="6" t="inlineStr">
        <is>
          <t>INDRA (ILS/DME) · IACIT (DME)</t>
        </is>
      </c>
      <c r="C26" s="7" t="inlineStr">
        <is>
          <t>OBSERVACIONES / RESUMEN INDRA</t>
        </is>
      </c>
    </row>
    <row r="27">
      <c r="A27" s="5" t="inlineStr">
        <is>
          <t>Factibilidad interna</t>
        </is>
      </c>
      <c r="B27" s="6" t="inlineStr">
        <is>
          <t>53% — 'APTO' (borderline)</t>
        </is>
      </c>
      <c r="C27" s="7" t="inlineStr">
        <is>
          <t>F-POI-16/15</t>
        </is>
      </c>
    </row>
    <row r="28">
      <c r="A28" s="5" t="inlineStr">
        <is>
          <t>Estado de la oferta económica</t>
        </is>
      </c>
      <c r="B28" s="6" t="inlineStr">
        <is>
          <t>NO existe modelo de Turquía (solo plantillas de otros países)</t>
        </is>
      </c>
      <c r="C28" s="7" t="inlineStr">
        <is>
          <t>Carpeta 01_Economical_Proposals</t>
        </is>
      </c>
    </row>
    <row r="30">
      <c r="A30" s="8" t="inlineStr">
        <is>
          <t>CANTIDADES (Birim Fiyat Teklif Cetveli) — sin precios (la lista oficial va en blanco)</t>
        </is>
      </c>
    </row>
    <row r="31">
      <c r="A31" s="4" t="inlineStr">
        <is>
          <t>Concepto</t>
        </is>
      </c>
      <c r="B31" s="4" t="inlineStr">
        <is>
          <t>Cantidad</t>
        </is>
      </c>
    </row>
    <row r="32">
      <c r="A32" s="9" t="inlineStr">
        <is>
          <t>Localizer (equipo+antena)</t>
        </is>
      </c>
      <c r="B32" s="9" t="n">
        <v>22</v>
      </c>
    </row>
    <row r="33">
      <c r="A33" s="9" t="inlineStr">
        <is>
          <t>Glide-Path (equipo+antena)</t>
        </is>
      </c>
      <c r="B33" s="9" t="n">
        <v>21</v>
      </c>
    </row>
    <row r="34">
      <c r="A34" s="9" t="inlineStr">
        <is>
          <t>DME (equipo+antena)</t>
        </is>
      </c>
      <c r="B34" s="9" t="n">
        <v>22</v>
      </c>
    </row>
    <row r="35">
      <c r="A35" s="9" t="inlineStr">
        <is>
          <t>Unidad control/estado remoto</t>
        </is>
      </c>
      <c r="B35" s="9" t="n">
        <v>22</v>
      </c>
    </row>
    <row r="36">
      <c r="A36" s="9" t="inlineStr">
        <is>
          <t>Control remoto (PC)</t>
        </is>
      </c>
      <c r="B36" s="9" t="n">
        <v>65</v>
      </c>
    </row>
    <row r="37">
      <c r="A37" s="9" t="inlineStr">
        <is>
          <t>Mantenimiento remoto (portátil)</t>
        </is>
      </c>
      <c r="B37" s="9" t="n">
        <v>22</v>
      </c>
    </row>
    <row r="38">
      <c r="A38" s="9" t="inlineStr">
        <is>
          <t>Shelter LLZ y GP</t>
        </is>
      </c>
      <c r="B38" s="9" t="n">
        <v>43</v>
      </c>
    </row>
    <row r="39">
      <c r="A39" s="9" t="inlineStr">
        <is>
          <t>Set repuestos ILS (full)+carga</t>
        </is>
      </c>
      <c r="B39" s="9" t="n">
        <v>21</v>
      </c>
    </row>
    <row r="40">
      <c r="A40" s="9" t="inlineStr">
        <is>
          <t>Set repuestos Localizer (full)+carga</t>
        </is>
      </c>
      <c r="B40" s="9" t="n">
        <v>1</v>
      </c>
    </row>
    <row r="41">
      <c r="A41" s="9" t="inlineStr">
        <is>
          <t>Set repuestos DME</t>
        </is>
      </c>
      <c r="B41" s="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ENTRADAS — rellena las celdas amarillas con datos REALES de GECI</t>
        </is>
      </c>
    </row>
    <row r="3">
      <c r="A3" s="11" t="inlineStr">
        <is>
          <t>Valor de la oferta / contrato (sin IVA)</t>
        </is>
      </c>
      <c r="B3" s="12" t="n"/>
    </row>
    <row r="4">
      <c r="A4" s="11" t="inlineStr">
        <is>
          <t>Pago a Indra al PEDIDO (%)</t>
        </is>
      </c>
      <c r="B4" s="13" t="n"/>
    </row>
    <row r="5">
      <c r="A5" s="11" t="inlineStr">
        <is>
          <t>Pago a Indra al EMBARQUE (%)</t>
        </is>
      </c>
      <c r="B5" s="13" t="n"/>
    </row>
    <row r="6">
      <c r="A6" s="11" t="inlineStr">
        <is>
          <t>Meses de antelación del pedido antes del embarque</t>
        </is>
      </c>
      <c r="B6" s="14" t="n"/>
    </row>
    <row r="7">
      <c r="A7" s="11" t="inlineStr">
        <is>
          <t>Coste anual del aval (te lo da tu banco) (%)</t>
        </is>
      </c>
      <c r="B7" s="13" t="n"/>
    </row>
    <row r="8">
      <c r="A8" s="11" t="inlineStr">
        <is>
          <t>Coste anual de financiación del circulante (%)</t>
        </is>
      </c>
      <c r="B8" s="13" t="n"/>
    </row>
    <row r="10">
      <c r="A10" s="11" t="inlineStr">
        <is>
          <t>Por cada LOTE de embarque (máx. 3, dentro de 840 días). Deja en blanco los que no uses:</t>
        </is>
      </c>
    </row>
    <row r="11">
      <c r="A11" s="4" t="inlineStr">
        <is>
          <t>Lote</t>
        </is>
      </c>
      <c r="B11" s="4" t="inlineStr">
        <is>
          <t>Mes de embarque
(desde firma, ≤28)</t>
        </is>
      </c>
      <c r="C11" s="4" t="inlineStr">
        <is>
          <t>Valor del embarque
(€)</t>
        </is>
      </c>
      <c r="D11" s="4" t="inlineStr">
        <is>
          <t>Meses hasta PAC
(tu plan de instalación)</t>
        </is>
      </c>
      <c r="E11" s="4" t="inlineStr">
        <is>
          <t>Coste equipos del lote
(Indra) (€)</t>
        </is>
      </c>
      <c r="F11" s="4" t="inlineStr">
        <is>
          <t>Coste instalación del lote
(€)</t>
        </is>
      </c>
    </row>
    <row r="12">
      <c r="A12" s="11" t="inlineStr">
        <is>
          <t>Lote 1</t>
        </is>
      </c>
      <c r="B12" s="14" t="n"/>
      <c r="C12" s="12" t="n"/>
      <c r="D12" s="14" t="n"/>
      <c r="E12" s="12" t="n"/>
      <c r="F12" s="12" t="n"/>
    </row>
    <row r="13">
      <c r="A13" s="11" t="inlineStr">
        <is>
          <t>Lote 2</t>
        </is>
      </c>
      <c r="B13" s="14" t="n"/>
      <c r="C13" s="12" t="n"/>
      <c r="D13" s="14" t="n"/>
      <c r="E13" s="12" t="n"/>
      <c r="F13" s="12" t="n"/>
    </row>
    <row r="14">
      <c r="A14" s="11" t="inlineStr">
        <is>
          <t>Lote 3</t>
        </is>
      </c>
      <c r="B14" s="14" t="n"/>
      <c r="C14" s="12" t="n"/>
      <c r="D14" s="14" t="n"/>
      <c r="E14" s="12" t="n"/>
      <c r="F14" s="12" t="n"/>
    </row>
    <row r="16">
      <c r="A16" s="15" t="inlineStr">
        <is>
          <t>Comprobación: la suma de 'Valor del embarque' debería igualar el valor de la oferta.</t>
        </is>
      </c>
    </row>
    <row r="17">
      <c r="A17" s="11" t="inlineStr">
        <is>
          <t>Suma valores de embarque:</t>
        </is>
      </c>
      <c r="B17" s="16">
        <f>SUM(C12:C14)</f>
        <v/>
      </c>
      <c r="C17">
        <f>IF(B17=B3,"OK","≠ revisar")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0" customWidth="1" min="9" max="9"/>
    <col width="11" customWidth="1" min="10" max="10"/>
    <col width="12" customWidth="1" min="11" max="11"/>
    <col width="12" customWidth="1" min="12" max="12"/>
    <col width="13" customWidth="1" min="13" max="13"/>
  </cols>
  <sheetData>
    <row r="1">
      <c r="A1" s="3" t="inlineStr">
        <is>
          <t>CASHFLOW MENSUAL (se calcula solo desde 'Entradas')</t>
        </is>
      </c>
    </row>
    <row r="3">
      <c r="A3" s="4" t="inlineStr">
        <is>
          <t>Mes
(desde firma)</t>
        </is>
      </c>
      <c r="B3" s="4" t="inlineStr">
        <is>
          <t>Cobro 40%
embarque</t>
        </is>
      </c>
      <c r="C3" s="4" t="inlineStr">
        <is>
          <t>Cobro 50%
PAC</t>
        </is>
      </c>
      <c r="D3" s="4" t="inlineStr">
        <is>
          <t>Cobro 10%
FAC</t>
        </is>
      </c>
      <c r="E3" s="4" t="inlineStr">
        <is>
          <t>INGRESOS</t>
        </is>
      </c>
      <c r="F3" s="4" t="inlineStr">
        <is>
          <t>Pago pedido
Indra</t>
        </is>
      </c>
      <c r="G3" s="4" t="inlineStr">
        <is>
          <t>Pago embarque
Indra</t>
        </is>
      </c>
      <c r="H3" s="4" t="inlineStr">
        <is>
          <t>Instalación</t>
        </is>
      </c>
      <c r="I3" s="4" t="inlineStr">
        <is>
          <t>Coste
aval</t>
        </is>
      </c>
      <c r="J3" s="4" t="inlineStr">
        <is>
          <t>Coste
financiero</t>
        </is>
      </c>
      <c r="K3" s="4" t="inlineStr">
        <is>
          <t>COSTES</t>
        </is>
      </c>
      <c r="L3" s="4" t="inlineStr">
        <is>
          <t>NETO
mes</t>
        </is>
      </c>
      <c r="M3" s="4" t="inlineStr">
        <is>
          <t>CAJA
acumulada</t>
        </is>
      </c>
    </row>
    <row r="4">
      <c r="A4" s="9" t="n">
        <v>0</v>
      </c>
      <c r="B4" s="17">
        <f>SUMPRODUCT((Entradas!$B$12:$B$14=$A4)*Entradas!$C$12:$C$14)*0.4</f>
        <v/>
      </c>
      <c r="C4" s="17">
        <f>SUMPRODUCT(((Entradas!$B$12:$B$14+Entradas!$D$12:$D$14)=$A4)*Entradas!$C$12:$C$14)*0.5</f>
        <v/>
      </c>
      <c r="D4" s="17">
        <f>SUMPRODUCT(((Entradas!$B$12:$B$14+Entradas!$D$12:$D$14+12)=$A4)*Entradas!$C$12:$C$14)*0.1</f>
        <v/>
      </c>
      <c r="E4" s="17">
        <f>SUM(B4:D4)</f>
        <v/>
      </c>
      <c r="F4" s="17">
        <f>SUMPRODUCT(((Entradas!$B$12:$B$14-Entradas!$B$6)=$A4)*Entradas!$E$12:$E$14)*Entradas!$B$4</f>
        <v/>
      </c>
      <c r="G4" s="17">
        <f>SUMPRODUCT((Entradas!$B$12:$B$14=$A4)*Entradas!$E$12:$E$14)*Entradas!$B$5</f>
        <v/>
      </c>
      <c r="H4" s="17">
        <f>SUMPRODUCT((Entradas!$B$12:$B$14&lt;=$A4)*((Entradas!$B$12:$B$14+Entradas!$D$12:$D$14)&gt;$A4)*(Entradas!$F$12:$F$14/(Entradas!$D$12:$D$14+(Entradas!$D$12:$D$14=0))))</f>
        <v/>
      </c>
      <c r="I4" s="17">
        <f>Entradas!$B$3*0.06*Entradas!$B$7/12</f>
        <v/>
      </c>
      <c r="J4" s="17" t="n">
        <v>0</v>
      </c>
      <c r="K4" s="17">
        <f>SUM(F4:J4)</f>
        <v/>
      </c>
      <c r="L4" s="17">
        <f>E4-K4</f>
        <v/>
      </c>
      <c r="M4" s="17">
        <f>L4</f>
        <v/>
      </c>
    </row>
    <row r="5">
      <c r="A5" s="9" t="n">
        <v>1</v>
      </c>
      <c r="B5" s="17">
        <f>SUMPRODUCT((Entradas!$B$12:$B$14=$A5)*Entradas!$C$12:$C$14)*0.4</f>
        <v/>
      </c>
      <c r="C5" s="17">
        <f>SUMPRODUCT(((Entradas!$B$12:$B$14+Entradas!$D$12:$D$14)=$A5)*Entradas!$C$12:$C$14)*0.5</f>
        <v/>
      </c>
      <c r="D5" s="17">
        <f>SUMPRODUCT(((Entradas!$B$12:$B$14+Entradas!$D$12:$D$14+12)=$A5)*Entradas!$C$12:$C$14)*0.1</f>
        <v/>
      </c>
      <c r="E5" s="17">
        <f>SUM(B5:D5)</f>
        <v/>
      </c>
      <c r="F5" s="17">
        <f>SUMPRODUCT(((Entradas!$B$12:$B$14-Entradas!$B$6)=$A5)*Entradas!$E$12:$E$14)*Entradas!$B$4</f>
        <v/>
      </c>
      <c r="G5" s="17">
        <f>SUMPRODUCT((Entradas!$B$12:$B$14=$A5)*Entradas!$E$12:$E$14)*Entradas!$B$5</f>
        <v/>
      </c>
      <c r="H5" s="17">
        <f>SUMPRODUCT((Entradas!$B$12:$B$14&lt;=$A5)*((Entradas!$B$12:$B$14+Entradas!$D$12:$D$14)&gt;$A5)*(Entradas!$F$12:$F$14/(Entradas!$D$12:$D$14+(Entradas!$D$12:$D$14=0))))</f>
        <v/>
      </c>
      <c r="I5" s="17">
        <f>Entradas!$B$3*0.06*Entradas!$B$7/12</f>
        <v/>
      </c>
      <c r="J5" s="17">
        <f>IF(M4&lt;0,-M4*Entradas!$B$8/12,0)</f>
        <v/>
      </c>
      <c r="K5" s="17">
        <f>SUM(F5:J5)</f>
        <v/>
      </c>
      <c r="L5" s="17">
        <f>E5-K5</f>
        <v/>
      </c>
      <c r="M5" s="17">
        <f>M4+L5</f>
        <v/>
      </c>
    </row>
    <row r="6">
      <c r="A6" s="9" t="n">
        <v>2</v>
      </c>
      <c r="B6" s="17">
        <f>SUMPRODUCT((Entradas!$B$12:$B$14=$A6)*Entradas!$C$12:$C$14)*0.4</f>
        <v/>
      </c>
      <c r="C6" s="17">
        <f>SUMPRODUCT(((Entradas!$B$12:$B$14+Entradas!$D$12:$D$14)=$A6)*Entradas!$C$12:$C$14)*0.5</f>
        <v/>
      </c>
      <c r="D6" s="17">
        <f>SUMPRODUCT(((Entradas!$B$12:$B$14+Entradas!$D$12:$D$14+12)=$A6)*Entradas!$C$12:$C$14)*0.1</f>
        <v/>
      </c>
      <c r="E6" s="17">
        <f>SUM(B6:D6)</f>
        <v/>
      </c>
      <c r="F6" s="17">
        <f>SUMPRODUCT(((Entradas!$B$12:$B$14-Entradas!$B$6)=$A6)*Entradas!$E$12:$E$14)*Entradas!$B$4</f>
        <v/>
      </c>
      <c r="G6" s="17">
        <f>SUMPRODUCT((Entradas!$B$12:$B$14=$A6)*Entradas!$E$12:$E$14)*Entradas!$B$5</f>
        <v/>
      </c>
      <c r="H6" s="17">
        <f>SUMPRODUCT((Entradas!$B$12:$B$14&lt;=$A6)*((Entradas!$B$12:$B$14+Entradas!$D$12:$D$14)&gt;$A6)*(Entradas!$F$12:$F$14/(Entradas!$D$12:$D$14+(Entradas!$D$12:$D$14=0))))</f>
        <v/>
      </c>
      <c r="I6" s="17">
        <f>Entradas!$B$3*0.06*Entradas!$B$7/12</f>
        <v/>
      </c>
      <c r="J6" s="17">
        <f>IF(M5&lt;0,-M5*Entradas!$B$8/12,0)</f>
        <v/>
      </c>
      <c r="K6" s="17">
        <f>SUM(F6:J6)</f>
        <v/>
      </c>
      <c r="L6" s="17">
        <f>E6-K6</f>
        <v/>
      </c>
      <c r="M6" s="17">
        <f>M5+L6</f>
        <v/>
      </c>
    </row>
    <row r="7">
      <c r="A7" s="9" t="n">
        <v>3</v>
      </c>
      <c r="B7" s="17">
        <f>SUMPRODUCT((Entradas!$B$12:$B$14=$A7)*Entradas!$C$12:$C$14)*0.4</f>
        <v/>
      </c>
      <c r="C7" s="17">
        <f>SUMPRODUCT(((Entradas!$B$12:$B$14+Entradas!$D$12:$D$14)=$A7)*Entradas!$C$12:$C$14)*0.5</f>
        <v/>
      </c>
      <c r="D7" s="17">
        <f>SUMPRODUCT(((Entradas!$B$12:$B$14+Entradas!$D$12:$D$14+12)=$A7)*Entradas!$C$12:$C$14)*0.1</f>
        <v/>
      </c>
      <c r="E7" s="17">
        <f>SUM(B7:D7)</f>
        <v/>
      </c>
      <c r="F7" s="17">
        <f>SUMPRODUCT(((Entradas!$B$12:$B$14-Entradas!$B$6)=$A7)*Entradas!$E$12:$E$14)*Entradas!$B$4</f>
        <v/>
      </c>
      <c r="G7" s="17">
        <f>SUMPRODUCT((Entradas!$B$12:$B$14=$A7)*Entradas!$E$12:$E$14)*Entradas!$B$5</f>
        <v/>
      </c>
      <c r="H7" s="17">
        <f>SUMPRODUCT((Entradas!$B$12:$B$14&lt;=$A7)*((Entradas!$B$12:$B$14+Entradas!$D$12:$D$14)&gt;$A7)*(Entradas!$F$12:$F$14/(Entradas!$D$12:$D$14+(Entradas!$D$12:$D$14=0))))</f>
        <v/>
      </c>
      <c r="I7" s="17">
        <f>Entradas!$B$3*0.06*Entradas!$B$7/12</f>
        <v/>
      </c>
      <c r="J7" s="17">
        <f>IF(M6&lt;0,-M6*Entradas!$B$8/12,0)</f>
        <v/>
      </c>
      <c r="K7" s="17">
        <f>SUM(F7:J7)</f>
        <v/>
      </c>
      <c r="L7" s="17">
        <f>E7-K7</f>
        <v/>
      </c>
      <c r="M7" s="17">
        <f>M6+L7</f>
        <v/>
      </c>
    </row>
    <row r="8">
      <c r="A8" s="9" t="n">
        <v>4</v>
      </c>
      <c r="B8" s="17">
        <f>SUMPRODUCT((Entradas!$B$12:$B$14=$A8)*Entradas!$C$12:$C$14)*0.4</f>
        <v/>
      </c>
      <c r="C8" s="17">
        <f>SUMPRODUCT(((Entradas!$B$12:$B$14+Entradas!$D$12:$D$14)=$A8)*Entradas!$C$12:$C$14)*0.5</f>
        <v/>
      </c>
      <c r="D8" s="17">
        <f>SUMPRODUCT(((Entradas!$B$12:$B$14+Entradas!$D$12:$D$14+12)=$A8)*Entradas!$C$12:$C$14)*0.1</f>
        <v/>
      </c>
      <c r="E8" s="17">
        <f>SUM(B8:D8)</f>
        <v/>
      </c>
      <c r="F8" s="17">
        <f>SUMPRODUCT(((Entradas!$B$12:$B$14-Entradas!$B$6)=$A8)*Entradas!$E$12:$E$14)*Entradas!$B$4</f>
        <v/>
      </c>
      <c r="G8" s="17">
        <f>SUMPRODUCT((Entradas!$B$12:$B$14=$A8)*Entradas!$E$12:$E$14)*Entradas!$B$5</f>
        <v/>
      </c>
      <c r="H8" s="17">
        <f>SUMPRODUCT((Entradas!$B$12:$B$14&lt;=$A8)*((Entradas!$B$12:$B$14+Entradas!$D$12:$D$14)&gt;$A8)*(Entradas!$F$12:$F$14/(Entradas!$D$12:$D$14+(Entradas!$D$12:$D$14=0))))</f>
        <v/>
      </c>
      <c r="I8" s="17">
        <f>Entradas!$B$3*0.06*Entradas!$B$7/12</f>
        <v/>
      </c>
      <c r="J8" s="17">
        <f>IF(M7&lt;0,-M7*Entradas!$B$8/12,0)</f>
        <v/>
      </c>
      <c r="K8" s="17">
        <f>SUM(F8:J8)</f>
        <v/>
      </c>
      <c r="L8" s="17">
        <f>E8-K8</f>
        <v/>
      </c>
      <c r="M8" s="17">
        <f>M7+L8</f>
        <v/>
      </c>
    </row>
    <row r="9">
      <c r="A9" s="9" t="n">
        <v>5</v>
      </c>
      <c r="B9" s="17">
        <f>SUMPRODUCT((Entradas!$B$12:$B$14=$A9)*Entradas!$C$12:$C$14)*0.4</f>
        <v/>
      </c>
      <c r="C9" s="17">
        <f>SUMPRODUCT(((Entradas!$B$12:$B$14+Entradas!$D$12:$D$14)=$A9)*Entradas!$C$12:$C$14)*0.5</f>
        <v/>
      </c>
      <c r="D9" s="17">
        <f>SUMPRODUCT(((Entradas!$B$12:$B$14+Entradas!$D$12:$D$14+12)=$A9)*Entradas!$C$12:$C$14)*0.1</f>
        <v/>
      </c>
      <c r="E9" s="17">
        <f>SUM(B9:D9)</f>
        <v/>
      </c>
      <c r="F9" s="17">
        <f>SUMPRODUCT(((Entradas!$B$12:$B$14-Entradas!$B$6)=$A9)*Entradas!$E$12:$E$14)*Entradas!$B$4</f>
        <v/>
      </c>
      <c r="G9" s="17">
        <f>SUMPRODUCT((Entradas!$B$12:$B$14=$A9)*Entradas!$E$12:$E$14)*Entradas!$B$5</f>
        <v/>
      </c>
      <c r="H9" s="17">
        <f>SUMPRODUCT((Entradas!$B$12:$B$14&lt;=$A9)*((Entradas!$B$12:$B$14+Entradas!$D$12:$D$14)&gt;$A9)*(Entradas!$F$12:$F$14/(Entradas!$D$12:$D$14+(Entradas!$D$12:$D$14=0))))</f>
        <v/>
      </c>
      <c r="I9" s="17">
        <f>Entradas!$B$3*0.06*Entradas!$B$7/12</f>
        <v/>
      </c>
      <c r="J9" s="17">
        <f>IF(M8&lt;0,-M8*Entradas!$B$8/12,0)</f>
        <v/>
      </c>
      <c r="K9" s="17">
        <f>SUM(F9:J9)</f>
        <v/>
      </c>
      <c r="L9" s="17">
        <f>E9-K9</f>
        <v/>
      </c>
      <c r="M9" s="17">
        <f>M8+L9</f>
        <v/>
      </c>
    </row>
    <row r="10">
      <c r="A10" s="9" t="n">
        <v>6</v>
      </c>
      <c r="B10" s="17">
        <f>SUMPRODUCT((Entradas!$B$12:$B$14=$A10)*Entradas!$C$12:$C$14)*0.4</f>
        <v/>
      </c>
      <c r="C10" s="17">
        <f>SUMPRODUCT(((Entradas!$B$12:$B$14+Entradas!$D$12:$D$14)=$A10)*Entradas!$C$12:$C$14)*0.5</f>
        <v/>
      </c>
      <c r="D10" s="17">
        <f>SUMPRODUCT(((Entradas!$B$12:$B$14+Entradas!$D$12:$D$14+12)=$A10)*Entradas!$C$12:$C$14)*0.1</f>
        <v/>
      </c>
      <c r="E10" s="17">
        <f>SUM(B10:D10)</f>
        <v/>
      </c>
      <c r="F10" s="17">
        <f>SUMPRODUCT(((Entradas!$B$12:$B$14-Entradas!$B$6)=$A10)*Entradas!$E$12:$E$14)*Entradas!$B$4</f>
        <v/>
      </c>
      <c r="G10" s="17">
        <f>SUMPRODUCT((Entradas!$B$12:$B$14=$A10)*Entradas!$E$12:$E$14)*Entradas!$B$5</f>
        <v/>
      </c>
      <c r="H10" s="17">
        <f>SUMPRODUCT((Entradas!$B$12:$B$14&lt;=$A10)*((Entradas!$B$12:$B$14+Entradas!$D$12:$D$14)&gt;$A10)*(Entradas!$F$12:$F$14/(Entradas!$D$12:$D$14+(Entradas!$D$12:$D$14=0))))</f>
        <v/>
      </c>
      <c r="I10" s="17">
        <f>Entradas!$B$3*0.06*Entradas!$B$7/12</f>
        <v/>
      </c>
      <c r="J10" s="17">
        <f>IF(M9&lt;0,-M9*Entradas!$B$8/12,0)</f>
        <v/>
      </c>
      <c r="K10" s="17">
        <f>SUM(F10:J10)</f>
        <v/>
      </c>
      <c r="L10" s="17">
        <f>E10-K10</f>
        <v/>
      </c>
      <c r="M10" s="17">
        <f>M9+L10</f>
        <v/>
      </c>
    </row>
    <row r="11">
      <c r="A11" s="9" t="n">
        <v>7</v>
      </c>
      <c r="B11" s="17">
        <f>SUMPRODUCT((Entradas!$B$12:$B$14=$A11)*Entradas!$C$12:$C$14)*0.4</f>
        <v/>
      </c>
      <c r="C11" s="17">
        <f>SUMPRODUCT(((Entradas!$B$12:$B$14+Entradas!$D$12:$D$14)=$A11)*Entradas!$C$12:$C$14)*0.5</f>
        <v/>
      </c>
      <c r="D11" s="17">
        <f>SUMPRODUCT(((Entradas!$B$12:$B$14+Entradas!$D$12:$D$14+12)=$A11)*Entradas!$C$12:$C$14)*0.1</f>
        <v/>
      </c>
      <c r="E11" s="17">
        <f>SUM(B11:D11)</f>
        <v/>
      </c>
      <c r="F11" s="17">
        <f>SUMPRODUCT(((Entradas!$B$12:$B$14-Entradas!$B$6)=$A11)*Entradas!$E$12:$E$14)*Entradas!$B$4</f>
        <v/>
      </c>
      <c r="G11" s="17">
        <f>SUMPRODUCT((Entradas!$B$12:$B$14=$A11)*Entradas!$E$12:$E$14)*Entradas!$B$5</f>
        <v/>
      </c>
      <c r="H11" s="17">
        <f>SUMPRODUCT((Entradas!$B$12:$B$14&lt;=$A11)*((Entradas!$B$12:$B$14+Entradas!$D$12:$D$14)&gt;$A11)*(Entradas!$F$12:$F$14/(Entradas!$D$12:$D$14+(Entradas!$D$12:$D$14=0))))</f>
        <v/>
      </c>
      <c r="I11" s="17">
        <f>Entradas!$B$3*0.06*Entradas!$B$7/12</f>
        <v/>
      </c>
      <c r="J11" s="17">
        <f>IF(M10&lt;0,-M10*Entradas!$B$8/12,0)</f>
        <v/>
      </c>
      <c r="K11" s="17">
        <f>SUM(F11:J11)</f>
        <v/>
      </c>
      <c r="L11" s="17">
        <f>E11-K11</f>
        <v/>
      </c>
      <c r="M11" s="17">
        <f>M10+L11</f>
        <v/>
      </c>
    </row>
    <row r="12">
      <c r="A12" s="9" t="n">
        <v>8</v>
      </c>
      <c r="B12" s="17">
        <f>SUMPRODUCT((Entradas!$B$12:$B$14=$A12)*Entradas!$C$12:$C$14)*0.4</f>
        <v/>
      </c>
      <c r="C12" s="17">
        <f>SUMPRODUCT(((Entradas!$B$12:$B$14+Entradas!$D$12:$D$14)=$A12)*Entradas!$C$12:$C$14)*0.5</f>
        <v/>
      </c>
      <c r="D12" s="17">
        <f>SUMPRODUCT(((Entradas!$B$12:$B$14+Entradas!$D$12:$D$14+12)=$A12)*Entradas!$C$12:$C$14)*0.1</f>
        <v/>
      </c>
      <c r="E12" s="17">
        <f>SUM(B12:D12)</f>
        <v/>
      </c>
      <c r="F12" s="17">
        <f>SUMPRODUCT(((Entradas!$B$12:$B$14-Entradas!$B$6)=$A12)*Entradas!$E$12:$E$14)*Entradas!$B$4</f>
        <v/>
      </c>
      <c r="G12" s="17">
        <f>SUMPRODUCT((Entradas!$B$12:$B$14=$A12)*Entradas!$E$12:$E$14)*Entradas!$B$5</f>
        <v/>
      </c>
      <c r="H12" s="17">
        <f>SUMPRODUCT((Entradas!$B$12:$B$14&lt;=$A12)*((Entradas!$B$12:$B$14+Entradas!$D$12:$D$14)&gt;$A12)*(Entradas!$F$12:$F$14/(Entradas!$D$12:$D$14+(Entradas!$D$12:$D$14=0))))</f>
        <v/>
      </c>
      <c r="I12" s="17">
        <f>Entradas!$B$3*0.06*Entradas!$B$7/12</f>
        <v/>
      </c>
      <c r="J12" s="17">
        <f>IF(M11&lt;0,-M11*Entradas!$B$8/12,0)</f>
        <v/>
      </c>
      <c r="K12" s="17">
        <f>SUM(F12:J12)</f>
        <v/>
      </c>
      <c r="L12" s="17">
        <f>E12-K12</f>
        <v/>
      </c>
      <c r="M12" s="17">
        <f>M11+L12</f>
        <v/>
      </c>
    </row>
    <row r="13">
      <c r="A13" s="9" t="n">
        <v>9</v>
      </c>
      <c r="B13" s="17">
        <f>SUMPRODUCT((Entradas!$B$12:$B$14=$A13)*Entradas!$C$12:$C$14)*0.4</f>
        <v/>
      </c>
      <c r="C13" s="17">
        <f>SUMPRODUCT(((Entradas!$B$12:$B$14+Entradas!$D$12:$D$14)=$A13)*Entradas!$C$12:$C$14)*0.5</f>
        <v/>
      </c>
      <c r="D13" s="17">
        <f>SUMPRODUCT(((Entradas!$B$12:$B$14+Entradas!$D$12:$D$14+12)=$A13)*Entradas!$C$12:$C$14)*0.1</f>
        <v/>
      </c>
      <c r="E13" s="17">
        <f>SUM(B13:D13)</f>
        <v/>
      </c>
      <c r="F13" s="17">
        <f>SUMPRODUCT(((Entradas!$B$12:$B$14-Entradas!$B$6)=$A13)*Entradas!$E$12:$E$14)*Entradas!$B$4</f>
        <v/>
      </c>
      <c r="G13" s="17">
        <f>SUMPRODUCT((Entradas!$B$12:$B$14=$A13)*Entradas!$E$12:$E$14)*Entradas!$B$5</f>
        <v/>
      </c>
      <c r="H13" s="17">
        <f>SUMPRODUCT((Entradas!$B$12:$B$14&lt;=$A13)*((Entradas!$B$12:$B$14+Entradas!$D$12:$D$14)&gt;$A13)*(Entradas!$F$12:$F$14/(Entradas!$D$12:$D$14+(Entradas!$D$12:$D$14=0))))</f>
        <v/>
      </c>
      <c r="I13" s="17">
        <f>Entradas!$B$3*0.06*Entradas!$B$7/12</f>
        <v/>
      </c>
      <c r="J13" s="17">
        <f>IF(M12&lt;0,-M12*Entradas!$B$8/12,0)</f>
        <v/>
      </c>
      <c r="K13" s="17">
        <f>SUM(F13:J13)</f>
        <v/>
      </c>
      <c r="L13" s="17">
        <f>E13-K13</f>
        <v/>
      </c>
      <c r="M13" s="17">
        <f>M12+L13</f>
        <v/>
      </c>
    </row>
    <row r="14">
      <c r="A14" s="9" t="n">
        <v>10</v>
      </c>
      <c r="B14" s="17">
        <f>SUMPRODUCT((Entradas!$B$12:$B$14=$A14)*Entradas!$C$12:$C$14)*0.4</f>
        <v/>
      </c>
      <c r="C14" s="17">
        <f>SUMPRODUCT(((Entradas!$B$12:$B$14+Entradas!$D$12:$D$14)=$A14)*Entradas!$C$12:$C$14)*0.5</f>
        <v/>
      </c>
      <c r="D14" s="17">
        <f>SUMPRODUCT(((Entradas!$B$12:$B$14+Entradas!$D$12:$D$14+12)=$A14)*Entradas!$C$12:$C$14)*0.1</f>
        <v/>
      </c>
      <c r="E14" s="17">
        <f>SUM(B14:D14)</f>
        <v/>
      </c>
      <c r="F14" s="17">
        <f>SUMPRODUCT(((Entradas!$B$12:$B$14-Entradas!$B$6)=$A14)*Entradas!$E$12:$E$14)*Entradas!$B$4</f>
        <v/>
      </c>
      <c r="G14" s="17">
        <f>SUMPRODUCT((Entradas!$B$12:$B$14=$A14)*Entradas!$E$12:$E$14)*Entradas!$B$5</f>
        <v/>
      </c>
      <c r="H14" s="17">
        <f>SUMPRODUCT((Entradas!$B$12:$B$14&lt;=$A14)*((Entradas!$B$12:$B$14+Entradas!$D$12:$D$14)&gt;$A14)*(Entradas!$F$12:$F$14/(Entradas!$D$12:$D$14+(Entradas!$D$12:$D$14=0))))</f>
        <v/>
      </c>
      <c r="I14" s="17">
        <f>Entradas!$B$3*0.06*Entradas!$B$7/12</f>
        <v/>
      </c>
      <c r="J14" s="17">
        <f>IF(M13&lt;0,-M13*Entradas!$B$8/12,0)</f>
        <v/>
      </c>
      <c r="K14" s="17">
        <f>SUM(F14:J14)</f>
        <v/>
      </c>
      <c r="L14" s="17">
        <f>E14-K14</f>
        <v/>
      </c>
      <c r="M14" s="17">
        <f>M13+L14</f>
        <v/>
      </c>
    </row>
    <row r="15">
      <c r="A15" s="9" t="n">
        <v>11</v>
      </c>
      <c r="B15" s="17">
        <f>SUMPRODUCT((Entradas!$B$12:$B$14=$A15)*Entradas!$C$12:$C$14)*0.4</f>
        <v/>
      </c>
      <c r="C15" s="17">
        <f>SUMPRODUCT(((Entradas!$B$12:$B$14+Entradas!$D$12:$D$14)=$A15)*Entradas!$C$12:$C$14)*0.5</f>
        <v/>
      </c>
      <c r="D15" s="17">
        <f>SUMPRODUCT(((Entradas!$B$12:$B$14+Entradas!$D$12:$D$14+12)=$A15)*Entradas!$C$12:$C$14)*0.1</f>
        <v/>
      </c>
      <c r="E15" s="17">
        <f>SUM(B15:D15)</f>
        <v/>
      </c>
      <c r="F15" s="17">
        <f>SUMPRODUCT(((Entradas!$B$12:$B$14-Entradas!$B$6)=$A15)*Entradas!$E$12:$E$14)*Entradas!$B$4</f>
        <v/>
      </c>
      <c r="G15" s="17">
        <f>SUMPRODUCT((Entradas!$B$12:$B$14=$A15)*Entradas!$E$12:$E$14)*Entradas!$B$5</f>
        <v/>
      </c>
      <c r="H15" s="17">
        <f>SUMPRODUCT((Entradas!$B$12:$B$14&lt;=$A15)*((Entradas!$B$12:$B$14+Entradas!$D$12:$D$14)&gt;$A15)*(Entradas!$F$12:$F$14/(Entradas!$D$12:$D$14+(Entradas!$D$12:$D$14=0))))</f>
        <v/>
      </c>
      <c r="I15" s="17">
        <f>Entradas!$B$3*0.06*Entradas!$B$7/12</f>
        <v/>
      </c>
      <c r="J15" s="17">
        <f>IF(M14&lt;0,-M14*Entradas!$B$8/12,0)</f>
        <v/>
      </c>
      <c r="K15" s="17">
        <f>SUM(F15:J15)</f>
        <v/>
      </c>
      <c r="L15" s="17">
        <f>E15-K15</f>
        <v/>
      </c>
      <c r="M15" s="17">
        <f>M14+L15</f>
        <v/>
      </c>
    </row>
    <row r="16">
      <c r="A16" s="9" t="n">
        <v>12</v>
      </c>
      <c r="B16" s="17">
        <f>SUMPRODUCT((Entradas!$B$12:$B$14=$A16)*Entradas!$C$12:$C$14)*0.4</f>
        <v/>
      </c>
      <c r="C16" s="17">
        <f>SUMPRODUCT(((Entradas!$B$12:$B$14+Entradas!$D$12:$D$14)=$A16)*Entradas!$C$12:$C$14)*0.5</f>
        <v/>
      </c>
      <c r="D16" s="17">
        <f>SUMPRODUCT(((Entradas!$B$12:$B$14+Entradas!$D$12:$D$14+12)=$A16)*Entradas!$C$12:$C$14)*0.1</f>
        <v/>
      </c>
      <c r="E16" s="17">
        <f>SUM(B16:D16)</f>
        <v/>
      </c>
      <c r="F16" s="17">
        <f>SUMPRODUCT(((Entradas!$B$12:$B$14-Entradas!$B$6)=$A16)*Entradas!$E$12:$E$14)*Entradas!$B$4</f>
        <v/>
      </c>
      <c r="G16" s="17">
        <f>SUMPRODUCT((Entradas!$B$12:$B$14=$A16)*Entradas!$E$12:$E$14)*Entradas!$B$5</f>
        <v/>
      </c>
      <c r="H16" s="17">
        <f>SUMPRODUCT((Entradas!$B$12:$B$14&lt;=$A16)*((Entradas!$B$12:$B$14+Entradas!$D$12:$D$14)&gt;$A16)*(Entradas!$F$12:$F$14/(Entradas!$D$12:$D$14+(Entradas!$D$12:$D$14=0))))</f>
        <v/>
      </c>
      <c r="I16" s="17">
        <f>Entradas!$B$3*0.06*Entradas!$B$7/12</f>
        <v/>
      </c>
      <c r="J16" s="17">
        <f>IF(M15&lt;0,-M15*Entradas!$B$8/12,0)</f>
        <v/>
      </c>
      <c r="K16" s="17">
        <f>SUM(F16:J16)</f>
        <v/>
      </c>
      <c r="L16" s="17">
        <f>E16-K16</f>
        <v/>
      </c>
      <c r="M16" s="17">
        <f>M15+L16</f>
        <v/>
      </c>
    </row>
    <row r="17">
      <c r="A17" s="9" t="n">
        <v>13</v>
      </c>
      <c r="B17" s="17">
        <f>SUMPRODUCT((Entradas!$B$12:$B$14=$A17)*Entradas!$C$12:$C$14)*0.4</f>
        <v/>
      </c>
      <c r="C17" s="17">
        <f>SUMPRODUCT(((Entradas!$B$12:$B$14+Entradas!$D$12:$D$14)=$A17)*Entradas!$C$12:$C$14)*0.5</f>
        <v/>
      </c>
      <c r="D17" s="17">
        <f>SUMPRODUCT(((Entradas!$B$12:$B$14+Entradas!$D$12:$D$14+12)=$A17)*Entradas!$C$12:$C$14)*0.1</f>
        <v/>
      </c>
      <c r="E17" s="17">
        <f>SUM(B17:D17)</f>
        <v/>
      </c>
      <c r="F17" s="17">
        <f>SUMPRODUCT(((Entradas!$B$12:$B$14-Entradas!$B$6)=$A17)*Entradas!$E$12:$E$14)*Entradas!$B$4</f>
        <v/>
      </c>
      <c r="G17" s="17">
        <f>SUMPRODUCT((Entradas!$B$12:$B$14=$A17)*Entradas!$E$12:$E$14)*Entradas!$B$5</f>
        <v/>
      </c>
      <c r="H17" s="17">
        <f>SUMPRODUCT((Entradas!$B$12:$B$14&lt;=$A17)*((Entradas!$B$12:$B$14+Entradas!$D$12:$D$14)&gt;$A17)*(Entradas!$F$12:$F$14/(Entradas!$D$12:$D$14+(Entradas!$D$12:$D$14=0))))</f>
        <v/>
      </c>
      <c r="I17" s="17">
        <f>Entradas!$B$3*0.06*Entradas!$B$7/12</f>
        <v/>
      </c>
      <c r="J17" s="17">
        <f>IF(M16&lt;0,-M16*Entradas!$B$8/12,0)</f>
        <v/>
      </c>
      <c r="K17" s="17">
        <f>SUM(F17:J17)</f>
        <v/>
      </c>
      <c r="L17" s="17">
        <f>E17-K17</f>
        <v/>
      </c>
      <c r="M17" s="17">
        <f>M16+L17</f>
        <v/>
      </c>
    </row>
    <row r="18">
      <c r="A18" s="9" t="n">
        <v>14</v>
      </c>
      <c r="B18" s="17">
        <f>SUMPRODUCT((Entradas!$B$12:$B$14=$A18)*Entradas!$C$12:$C$14)*0.4</f>
        <v/>
      </c>
      <c r="C18" s="17">
        <f>SUMPRODUCT(((Entradas!$B$12:$B$14+Entradas!$D$12:$D$14)=$A18)*Entradas!$C$12:$C$14)*0.5</f>
        <v/>
      </c>
      <c r="D18" s="17">
        <f>SUMPRODUCT(((Entradas!$B$12:$B$14+Entradas!$D$12:$D$14+12)=$A18)*Entradas!$C$12:$C$14)*0.1</f>
        <v/>
      </c>
      <c r="E18" s="17">
        <f>SUM(B18:D18)</f>
        <v/>
      </c>
      <c r="F18" s="17">
        <f>SUMPRODUCT(((Entradas!$B$12:$B$14-Entradas!$B$6)=$A18)*Entradas!$E$12:$E$14)*Entradas!$B$4</f>
        <v/>
      </c>
      <c r="G18" s="17">
        <f>SUMPRODUCT((Entradas!$B$12:$B$14=$A18)*Entradas!$E$12:$E$14)*Entradas!$B$5</f>
        <v/>
      </c>
      <c r="H18" s="17">
        <f>SUMPRODUCT((Entradas!$B$12:$B$14&lt;=$A18)*((Entradas!$B$12:$B$14+Entradas!$D$12:$D$14)&gt;$A18)*(Entradas!$F$12:$F$14/(Entradas!$D$12:$D$14+(Entradas!$D$12:$D$14=0))))</f>
        <v/>
      </c>
      <c r="I18" s="17">
        <f>Entradas!$B$3*0.06*Entradas!$B$7/12</f>
        <v/>
      </c>
      <c r="J18" s="17">
        <f>IF(M17&lt;0,-M17*Entradas!$B$8/12,0)</f>
        <v/>
      </c>
      <c r="K18" s="17">
        <f>SUM(F18:J18)</f>
        <v/>
      </c>
      <c r="L18" s="17">
        <f>E18-K18</f>
        <v/>
      </c>
      <c r="M18" s="17">
        <f>M17+L18</f>
        <v/>
      </c>
    </row>
    <row r="19">
      <c r="A19" s="9" t="n">
        <v>15</v>
      </c>
      <c r="B19" s="17">
        <f>SUMPRODUCT((Entradas!$B$12:$B$14=$A19)*Entradas!$C$12:$C$14)*0.4</f>
        <v/>
      </c>
      <c r="C19" s="17">
        <f>SUMPRODUCT(((Entradas!$B$12:$B$14+Entradas!$D$12:$D$14)=$A19)*Entradas!$C$12:$C$14)*0.5</f>
        <v/>
      </c>
      <c r="D19" s="17">
        <f>SUMPRODUCT(((Entradas!$B$12:$B$14+Entradas!$D$12:$D$14+12)=$A19)*Entradas!$C$12:$C$14)*0.1</f>
        <v/>
      </c>
      <c r="E19" s="17">
        <f>SUM(B19:D19)</f>
        <v/>
      </c>
      <c r="F19" s="17">
        <f>SUMPRODUCT(((Entradas!$B$12:$B$14-Entradas!$B$6)=$A19)*Entradas!$E$12:$E$14)*Entradas!$B$4</f>
        <v/>
      </c>
      <c r="G19" s="17">
        <f>SUMPRODUCT((Entradas!$B$12:$B$14=$A19)*Entradas!$E$12:$E$14)*Entradas!$B$5</f>
        <v/>
      </c>
      <c r="H19" s="17">
        <f>SUMPRODUCT((Entradas!$B$12:$B$14&lt;=$A19)*((Entradas!$B$12:$B$14+Entradas!$D$12:$D$14)&gt;$A19)*(Entradas!$F$12:$F$14/(Entradas!$D$12:$D$14+(Entradas!$D$12:$D$14=0))))</f>
        <v/>
      </c>
      <c r="I19" s="17">
        <f>Entradas!$B$3*0.06*Entradas!$B$7/12</f>
        <v/>
      </c>
      <c r="J19" s="17">
        <f>IF(M18&lt;0,-M18*Entradas!$B$8/12,0)</f>
        <v/>
      </c>
      <c r="K19" s="17">
        <f>SUM(F19:J19)</f>
        <v/>
      </c>
      <c r="L19" s="17">
        <f>E19-K19</f>
        <v/>
      </c>
      <c r="M19" s="17">
        <f>M18+L19</f>
        <v/>
      </c>
    </row>
    <row r="20">
      <c r="A20" s="9" t="n">
        <v>16</v>
      </c>
      <c r="B20" s="17">
        <f>SUMPRODUCT((Entradas!$B$12:$B$14=$A20)*Entradas!$C$12:$C$14)*0.4</f>
        <v/>
      </c>
      <c r="C20" s="17">
        <f>SUMPRODUCT(((Entradas!$B$12:$B$14+Entradas!$D$12:$D$14)=$A20)*Entradas!$C$12:$C$14)*0.5</f>
        <v/>
      </c>
      <c r="D20" s="17">
        <f>SUMPRODUCT(((Entradas!$B$12:$B$14+Entradas!$D$12:$D$14+12)=$A20)*Entradas!$C$12:$C$14)*0.1</f>
        <v/>
      </c>
      <c r="E20" s="17">
        <f>SUM(B20:D20)</f>
        <v/>
      </c>
      <c r="F20" s="17">
        <f>SUMPRODUCT(((Entradas!$B$12:$B$14-Entradas!$B$6)=$A20)*Entradas!$E$12:$E$14)*Entradas!$B$4</f>
        <v/>
      </c>
      <c r="G20" s="17">
        <f>SUMPRODUCT((Entradas!$B$12:$B$14=$A20)*Entradas!$E$12:$E$14)*Entradas!$B$5</f>
        <v/>
      </c>
      <c r="H20" s="17">
        <f>SUMPRODUCT((Entradas!$B$12:$B$14&lt;=$A20)*((Entradas!$B$12:$B$14+Entradas!$D$12:$D$14)&gt;$A20)*(Entradas!$F$12:$F$14/(Entradas!$D$12:$D$14+(Entradas!$D$12:$D$14=0))))</f>
        <v/>
      </c>
      <c r="I20" s="17">
        <f>Entradas!$B$3*0.06*Entradas!$B$7/12</f>
        <v/>
      </c>
      <c r="J20" s="17">
        <f>IF(M19&lt;0,-M19*Entradas!$B$8/12,0)</f>
        <v/>
      </c>
      <c r="K20" s="17">
        <f>SUM(F20:J20)</f>
        <v/>
      </c>
      <c r="L20" s="17">
        <f>E20-K20</f>
        <v/>
      </c>
      <c r="M20" s="17">
        <f>M19+L20</f>
        <v/>
      </c>
    </row>
    <row r="21">
      <c r="A21" s="9" t="n">
        <v>17</v>
      </c>
      <c r="B21" s="17">
        <f>SUMPRODUCT((Entradas!$B$12:$B$14=$A21)*Entradas!$C$12:$C$14)*0.4</f>
        <v/>
      </c>
      <c r="C21" s="17">
        <f>SUMPRODUCT(((Entradas!$B$12:$B$14+Entradas!$D$12:$D$14)=$A21)*Entradas!$C$12:$C$14)*0.5</f>
        <v/>
      </c>
      <c r="D21" s="17">
        <f>SUMPRODUCT(((Entradas!$B$12:$B$14+Entradas!$D$12:$D$14+12)=$A21)*Entradas!$C$12:$C$14)*0.1</f>
        <v/>
      </c>
      <c r="E21" s="17">
        <f>SUM(B21:D21)</f>
        <v/>
      </c>
      <c r="F21" s="17">
        <f>SUMPRODUCT(((Entradas!$B$12:$B$14-Entradas!$B$6)=$A21)*Entradas!$E$12:$E$14)*Entradas!$B$4</f>
        <v/>
      </c>
      <c r="G21" s="17">
        <f>SUMPRODUCT((Entradas!$B$12:$B$14=$A21)*Entradas!$E$12:$E$14)*Entradas!$B$5</f>
        <v/>
      </c>
      <c r="H21" s="17">
        <f>SUMPRODUCT((Entradas!$B$12:$B$14&lt;=$A21)*((Entradas!$B$12:$B$14+Entradas!$D$12:$D$14)&gt;$A21)*(Entradas!$F$12:$F$14/(Entradas!$D$12:$D$14+(Entradas!$D$12:$D$14=0))))</f>
        <v/>
      </c>
      <c r="I21" s="17">
        <f>Entradas!$B$3*0.06*Entradas!$B$7/12</f>
        <v/>
      </c>
      <c r="J21" s="17">
        <f>IF(M20&lt;0,-M20*Entradas!$B$8/12,0)</f>
        <v/>
      </c>
      <c r="K21" s="17">
        <f>SUM(F21:J21)</f>
        <v/>
      </c>
      <c r="L21" s="17">
        <f>E21-K21</f>
        <v/>
      </c>
      <c r="M21" s="17">
        <f>M20+L21</f>
        <v/>
      </c>
    </row>
    <row r="22">
      <c r="A22" s="9" t="n">
        <v>18</v>
      </c>
      <c r="B22" s="17">
        <f>SUMPRODUCT((Entradas!$B$12:$B$14=$A22)*Entradas!$C$12:$C$14)*0.4</f>
        <v/>
      </c>
      <c r="C22" s="17">
        <f>SUMPRODUCT(((Entradas!$B$12:$B$14+Entradas!$D$12:$D$14)=$A22)*Entradas!$C$12:$C$14)*0.5</f>
        <v/>
      </c>
      <c r="D22" s="17">
        <f>SUMPRODUCT(((Entradas!$B$12:$B$14+Entradas!$D$12:$D$14+12)=$A22)*Entradas!$C$12:$C$14)*0.1</f>
        <v/>
      </c>
      <c r="E22" s="17">
        <f>SUM(B22:D22)</f>
        <v/>
      </c>
      <c r="F22" s="17">
        <f>SUMPRODUCT(((Entradas!$B$12:$B$14-Entradas!$B$6)=$A22)*Entradas!$E$12:$E$14)*Entradas!$B$4</f>
        <v/>
      </c>
      <c r="G22" s="17">
        <f>SUMPRODUCT((Entradas!$B$12:$B$14=$A22)*Entradas!$E$12:$E$14)*Entradas!$B$5</f>
        <v/>
      </c>
      <c r="H22" s="17">
        <f>SUMPRODUCT((Entradas!$B$12:$B$14&lt;=$A22)*((Entradas!$B$12:$B$14+Entradas!$D$12:$D$14)&gt;$A22)*(Entradas!$F$12:$F$14/(Entradas!$D$12:$D$14+(Entradas!$D$12:$D$14=0))))</f>
        <v/>
      </c>
      <c r="I22" s="17">
        <f>Entradas!$B$3*0.06*Entradas!$B$7/12</f>
        <v/>
      </c>
      <c r="J22" s="17">
        <f>IF(M21&lt;0,-M21*Entradas!$B$8/12,0)</f>
        <v/>
      </c>
      <c r="K22" s="17">
        <f>SUM(F22:J22)</f>
        <v/>
      </c>
      <c r="L22" s="17">
        <f>E22-K22</f>
        <v/>
      </c>
      <c r="M22" s="17">
        <f>M21+L22</f>
        <v/>
      </c>
    </row>
    <row r="23">
      <c r="A23" s="9" t="n">
        <v>19</v>
      </c>
      <c r="B23" s="17">
        <f>SUMPRODUCT((Entradas!$B$12:$B$14=$A23)*Entradas!$C$12:$C$14)*0.4</f>
        <v/>
      </c>
      <c r="C23" s="17">
        <f>SUMPRODUCT(((Entradas!$B$12:$B$14+Entradas!$D$12:$D$14)=$A23)*Entradas!$C$12:$C$14)*0.5</f>
        <v/>
      </c>
      <c r="D23" s="17">
        <f>SUMPRODUCT(((Entradas!$B$12:$B$14+Entradas!$D$12:$D$14+12)=$A23)*Entradas!$C$12:$C$14)*0.1</f>
        <v/>
      </c>
      <c r="E23" s="17">
        <f>SUM(B23:D23)</f>
        <v/>
      </c>
      <c r="F23" s="17">
        <f>SUMPRODUCT(((Entradas!$B$12:$B$14-Entradas!$B$6)=$A23)*Entradas!$E$12:$E$14)*Entradas!$B$4</f>
        <v/>
      </c>
      <c r="G23" s="17">
        <f>SUMPRODUCT((Entradas!$B$12:$B$14=$A23)*Entradas!$E$12:$E$14)*Entradas!$B$5</f>
        <v/>
      </c>
      <c r="H23" s="17">
        <f>SUMPRODUCT((Entradas!$B$12:$B$14&lt;=$A23)*((Entradas!$B$12:$B$14+Entradas!$D$12:$D$14)&gt;$A23)*(Entradas!$F$12:$F$14/(Entradas!$D$12:$D$14+(Entradas!$D$12:$D$14=0))))</f>
        <v/>
      </c>
      <c r="I23" s="17">
        <f>Entradas!$B$3*0.06*Entradas!$B$7/12</f>
        <v/>
      </c>
      <c r="J23" s="17">
        <f>IF(M22&lt;0,-M22*Entradas!$B$8/12,0)</f>
        <v/>
      </c>
      <c r="K23" s="17">
        <f>SUM(F23:J23)</f>
        <v/>
      </c>
      <c r="L23" s="17">
        <f>E23-K23</f>
        <v/>
      </c>
      <c r="M23" s="17">
        <f>M22+L23</f>
        <v/>
      </c>
    </row>
    <row r="24">
      <c r="A24" s="9" t="n">
        <v>20</v>
      </c>
      <c r="B24" s="17">
        <f>SUMPRODUCT((Entradas!$B$12:$B$14=$A24)*Entradas!$C$12:$C$14)*0.4</f>
        <v/>
      </c>
      <c r="C24" s="17">
        <f>SUMPRODUCT(((Entradas!$B$12:$B$14+Entradas!$D$12:$D$14)=$A24)*Entradas!$C$12:$C$14)*0.5</f>
        <v/>
      </c>
      <c r="D24" s="17">
        <f>SUMPRODUCT(((Entradas!$B$12:$B$14+Entradas!$D$12:$D$14+12)=$A24)*Entradas!$C$12:$C$14)*0.1</f>
        <v/>
      </c>
      <c r="E24" s="17">
        <f>SUM(B24:D24)</f>
        <v/>
      </c>
      <c r="F24" s="17">
        <f>SUMPRODUCT(((Entradas!$B$12:$B$14-Entradas!$B$6)=$A24)*Entradas!$E$12:$E$14)*Entradas!$B$4</f>
        <v/>
      </c>
      <c r="G24" s="17">
        <f>SUMPRODUCT((Entradas!$B$12:$B$14=$A24)*Entradas!$E$12:$E$14)*Entradas!$B$5</f>
        <v/>
      </c>
      <c r="H24" s="17">
        <f>SUMPRODUCT((Entradas!$B$12:$B$14&lt;=$A24)*((Entradas!$B$12:$B$14+Entradas!$D$12:$D$14)&gt;$A24)*(Entradas!$F$12:$F$14/(Entradas!$D$12:$D$14+(Entradas!$D$12:$D$14=0))))</f>
        <v/>
      </c>
      <c r="I24" s="17">
        <f>Entradas!$B$3*0.06*Entradas!$B$7/12</f>
        <v/>
      </c>
      <c r="J24" s="17">
        <f>IF(M23&lt;0,-M23*Entradas!$B$8/12,0)</f>
        <v/>
      </c>
      <c r="K24" s="17">
        <f>SUM(F24:J24)</f>
        <v/>
      </c>
      <c r="L24" s="17">
        <f>E24-K24</f>
        <v/>
      </c>
      <c r="M24" s="17">
        <f>M23+L24</f>
        <v/>
      </c>
    </row>
    <row r="25">
      <c r="A25" s="9" t="n">
        <v>21</v>
      </c>
      <c r="B25" s="17">
        <f>SUMPRODUCT((Entradas!$B$12:$B$14=$A25)*Entradas!$C$12:$C$14)*0.4</f>
        <v/>
      </c>
      <c r="C25" s="17">
        <f>SUMPRODUCT(((Entradas!$B$12:$B$14+Entradas!$D$12:$D$14)=$A25)*Entradas!$C$12:$C$14)*0.5</f>
        <v/>
      </c>
      <c r="D25" s="17">
        <f>SUMPRODUCT(((Entradas!$B$12:$B$14+Entradas!$D$12:$D$14+12)=$A25)*Entradas!$C$12:$C$14)*0.1</f>
        <v/>
      </c>
      <c r="E25" s="17">
        <f>SUM(B25:D25)</f>
        <v/>
      </c>
      <c r="F25" s="17">
        <f>SUMPRODUCT(((Entradas!$B$12:$B$14-Entradas!$B$6)=$A25)*Entradas!$E$12:$E$14)*Entradas!$B$4</f>
        <v/>
      </c>
      <c r="G25" s="17">
        <f>SUMPRODUCT((Entradas!$B$12:$B$14=$A25)*Entradas!$E$12:$E$14)*Entradas!$B$5</f>
        <v/>
      </c>
      <c r="H25" s="17">
        <f>SUMPRODUCT((Entradas!$B$12:$B$14&lt;=$A25)*((Entradas!$B$12:$B$14+Entradas!$D$12:$D$14)&gt;$A25)*(Entradas!$F$12:$F$14/(Entradas!$D$12:$D$14+(Entradas!$D$12:$D$14=0))))</f>
        <v/>
      </c>
      <c r="I25" s="17">
        <f>Entradas!$B$3*0.06*Entradas!$B$7/12</f>
        <v/>
      </c>
      <c r="J25" s="17">
        <f>IF(M24&lt;0,-M24*Entradas!$B$8/12,0)</f>
        <v/>
      </c>
      <c r="K25" s="17">
        <f>SUM(F25:J25)</f>
        <v/>
      </c>
      <c r="L25" s="17">
        <f>E25-K25</f>
        <v/>
      </c>
      <c r="M25" s="17">
        <f>M24+L25</f>
        <v/>
      </c>
    </row>
    <row r="26">
      <c r="A26" s="9" t="n">
        <v>22</v>
      </c>
      <c r="B26" s="17">
        <f>SUMPRODUCT((Entradas!$B$12:$B$14=$A26)*Entradas!$C$12:$C$14)*0.4</f>
        <v/>
      </c>
      <c r="C26" s="17">
        <f>SUMPRODUCT(((Entradas!$B$12:$B$14+Entradas!$D$12:$D$14)=$A26)*Entradas!$C$12:$C$14)*0.5</f>
        <v/>
      </c>
      <c r="D26" s="17">
        <f>SUMPRODUCT(((Entradas!$B$12:$B$14+Entradas!$D$12:$D$14+12)=$A26)*Entradas!$C$12:$C$14)*0.1</f>
        <v/>
      </c>
      <c r="E26" s="17">
        <f>SUM(B26:D26)</f>
        <v/>
      </c>
      <c r="F26" s="17">
        <f>SUMPRODUCT(((Entradas!$B$12:$B$14-Entradas!$B$6)=$A26)*Entradas!$E$12:$E$14)*Entradas!$B$4</f>
        <v/>
      </c>
      <c r="G26" s="17">
        <f>SUMPRODUCT((Entradas!$B$12:$B$14=$A26)*Entradas!$E$12:$E$14)*Entradas!$B$5</f>
        <v/>
      </c>
      <c r="H26" s="17">
        <f>SUMPRODUCT((Entradas!$B$12:$B$14&lt;=$A26)*((Entradas!$B$12:$B$14+Entradas!$D$12:$D$14)&gt;$A26)*(Entradas!$F$12:$F$14/(Entradas!$D$12:$D$14+(Entradas!$D$12:$D$14=0))))</f>
        <v/>
      </c>
      <c r="I26" s="17">
        <f>Entradas!$B$3*0.06*Entradas!$B$7/12</f>
        <v/>
      </c>
      <c r="J26" s="17">
        <f>IF(M25&lt;0,-M25*Entradas!$B$8/12,0)</f>
        <v/>
      </c>
      <c r="K26" s="17">
        <f>SUM(F26:J26)</f>
        <v/>
      </c>
      <c r="L26" s="17">
        <f>E26-K26</f>
        <v/>
      </c>
      <c r="M26" s="17">
        <f>M25+L26</f>
        <v/>
      </c>
    </row>
    <row r="27">
      <c r="A27" s="9" t="n">
        <v>23</v>
      </c>
      <c r="B27" s="17">
        <f>SUMPRODUCT((Entradas!$B$12:$B$14=$A27)*Entradas!$C$12:$C$14)*0.4</f>
        <v/>
      </c>
      <c r="C27" s="17">
        <f>SUMPRODUCT(((Entradas!$B$12:$B$14+Entradas!$D$12:$D$14)=$A27)*Entradas!$C$12:$C$14)*0.5</f>
        <v/>
      </c>
      <c r="D27" s="17">
        <f>SUMPRODUCT(((Entradas!$B$12:$B$14+Entradas!$D$12:$D$14+12)=$A27)*Entradas!$C$12:$C$14)*0.1</f>
        <v/>
      </c>
      <c r="E27" s="17">
        <f>SUM(B27:D27)</f>
        <v/>
      </c>
      <c r="F27" s="17">
        <f>SUMPRODUCT(((Entradas!$B$12:$B$14-Entradas!$B$6)=$A27)*Entradas!$E$12:$E$14)*Entradas!$B$4</f>
        <v/>
      </c>
      <c r="G27" s="17">
        <f>SUMPRODUCT((Entradas!$B$12:$B$14=$A27)*Entradas!$E$12:$E$14)*Entradas!$B$5</f>
        <v/>
      </c>
      <c r="H27" s="17">
        <f>SUMPRODUCT((Entradas!$B$12:$B$14&lt;=$A27)*((Entradas!$B$12:$B$14+Entradas!$D$12:$D$14)&gt;$A27)*(Entradas!$F$12:$F$14/(Entradas!$D$12:$D$14+(Entradas!$D$12:$D$14=0))))</f>
        <v/>
      </c>
      <c r="I27" s="17">
        <f>Entradas!$B$3*0.06*Entradas!$B$7/12</f>
        <v/>
      </c>
      <c r="J27" s="17">
        <f>IF(M26&lt;0,-M26*Entradas!$B$8/12,0)</f>
        <v/>
      </c>
      <c r="K27" s="17">
        <f>SUM(F27:J27)</f>
        <v/>
      </c>
      <c r="L27" s="17">
        <f>E27-K27</f>
        <v/>
      </c>
      <c r="M27" s="17">
        <f>M26+L27</f>
        <v/>
      </c>
    </row>
    <row r="28">
      <c r="A28" s="9" t="n">
        <v>24</v>
      </c>
      <c r="B28" s="17">
        <f>SUMPRODUCT((Entradas!$B$12:$B$14=$A28)*Entradas!$C$12:$C$14)*0.4</f>
        <v/>
      </c>
      <c r="C28" s="17">
        <f>SUMPRODUCT(((Entradas!$B$12:$B$14+Entradas!$D$12:$D$14)=$A28)*Entradas!$C$12:$C$14)*0.5</f>
        <v/>
      </c>
      <c r="D28" s="17">
        <f>SUMPRODUCT(((Entradas!$B$12:$B$14+Entradas!$D$12:$D$14+12)=$A28)*Entradas!$C$12:$C$14)*0.1</f>
        <v/>
      </c>
      <c r="E28" s="17">
        <f>SUM(B28:D28)</f>
        <v/>
      </c>
      <c r="F28" s="17">
        <f>SUMPRODUCT(((Entradas!$B$12:$B$14-Entradas!$B$6)=$A28)*Entradas!$E$12:$E$14)*Entradas!$B$4</f>
        <v/>
      </c>
      <c r="G28" s="17">
        <f>SUMPRODUCT((Entradas!$B$12:$B$14=$A28)*Entradas!$E$12:$E$14)*Entradas!$B$5</f>
        <v/>
      </c>
      <c r="H28" s="17">
        <f>SUMPRODUCT((Entradas!$B$12:$B$14&lt;=$A28)*((Entradas!$B$12:$B$14+Entradas!$D$12:$D$14)&gt;$A28)*(Entradas!$F$12:$F$14/(Entradas!$D$12:$D$14+(Entradas!$D$12:$D$14=0))))</f>
        <v/>
      </c>
      <c r="I28" s="17">
        <f>Entradas!$B$3*0.06*Entradas!$B$7/12</f>
        <v/>
      </c>
      <c r="J28" s="17">
        <f>IF(M27&lt;0,-M27*Entradas!$B$8/12,0)</f>
        <v/>
      </c>
      <c r="K28" s="17">
        <f>SUM(F28:J28)</f>
        <v/>
      </c>
      <c r="L28" s="17">
        <f>E28-K28</f>
        <v/>
      </c>
      <c r="M28" s="17">
        <f>M27+L28</f>
        <v/>
      </c>
    </row>
    <row r="29">
      <c r="A29" s="9" t="n">
        <v>25</v>
      </c>
      <c r="B29" s="17">
        <f>SUMPRODUCT((Entradas!$B$12:$B$14=$A29)*Entradas!$C$12:$C$14)*0.4</f>
        <v/>
      </c>
      <c r="C29" s="17">
        <f>SUMPRODUCT(((Entradas!$B$12:$B$14+Entradas!$D$12:$D$14)=$A29)*Entradas!$C$12:$C$14)*0.5</f>
        <v/>
      </c>
      <c r="D29" s="17">
        <f>SUMPRODUCT(((Entradas!$B$12:$B$14+Entradas!$D$12:$D$14+12)=$A29)*Entradas!$C$12:$C$14)*0.1</f>
        <v/>
      </c>
      <c r="E29" s="17">
        <f>SUM(B29:D29)</f>
        <v/>
      </c>
      <c r="F29" s="17">
        <f>SUMPRODUCT(((Entradas!$B$12:$B$14-Entradas!$B$6)=$A29)*Entradas!$E$12:$E$14)*Entradas!$B$4</f>
        <v/>
      </c>
      <c r="G29" s="17">
        <f>SUMPRODUCT((Entradas!$B$12:$B$14=$A29)*Entradas!$E$12:$E$14)*Entradas!$B$5</f>
        <v/>
      </c>
      <c r="H29" s="17">
        <f>SUMPRODUCT((Entradas!$B$12:$B$14&lt;=$A29)*((Entradas!$B$12:$B$14+Entradas!$D$12:$D$14)&gt;$A29)*(Entradas!$F$12:$F$14/(Entradas!$D$12:$D$14+(Entradas!$D$12:$D$14=0))))</f>
        <v/>
      </c>
      <c r="I29" s="17">
        <f>Entradas!$B$3*0.06*Entradas!$B$7/12</f>
        <v/>
      </c>
      <c r="J29" s="17">
        <f>IF(M28&lt;0,-M28*Entradas!$B$8/12,0)</f>
        <v/>
      </c>
      <c r="K29" s="17">
        <f>SUM(F29:J29)</f>
        <v/>
      </c>
      <c r="L29" s="17">
        <f>E29-K29</f>
        <v/>
      </c>
      <c r="M29" s="17">
        <f>M28+L29</f>
        <v/>
      </c>
    </row>
    <row r="30">
      <c r="A30" s="9" t="n">
        <v>26</v>
      </c>
      <c r="B30" s="17">
        <f>SUMPRODUCT((Entradas!$B$12:$B$14=$A30)*Entradas!$C$12:$C$14)*0.4</f>
        <v/>
      </c>
      <c r="C30" s="17">
        <f>SUMPRODUCT(((Entradas!$B$12:$B$14+Entradas!$D$12:$D$14)=$A30)*Entradas!$C$12:$C$14)*0.5</f>
        <v/>
      </c>
      <c r="D30" s="17">
        <f>SUMPRODUCT(((Entradas!$B$12:$B$14+Entradas!$D$12:$D$14+12)=$A30)*Entradas!$C$12:$C$14)*0.1</f>
        <v/>
      </c>
      <c r="E30" s="17">
        <f>SUM(B30:D30)</f>
        <v/>
      </c>
      <c r="F30" s="17">
        <f>SUMPRODUCT(((Entradas!$B$12:$B$14-Entradas!$B$6)=$A30)*Entradas!$E$12:$E$14)*Entradas!$B$4</f>
        <v/>
      </c>
      <c r="G30" s="17">
        <f>SUMPRODUCT((Entradas!$B$12:$B$14=$A30)*Entradas!$E$12:$E$14)*Entradas!$B$5</f>
        <v/>
      </c>
      <c r="H30" s="17">
        <f>SUMPRODUCT((Entradas!$B$12:$B$14&lt;=$A30)*((Entradas!$B$12:$B$14+Entradas!$D$12:$D$14)&gt;$A30)*(Entradas!$F$12:$F$14/(Entradas!$D$12:$D$14+(Entradas!$D$12:$D$14=0))))</f>
        <v/>
      </c>
      <c r="I30" s="17">
        <f>Entradas!$B$3*0.06*Entradas!$B$7/12</f>
        <v/>
      </c>
      <c r="J30" s="17">
        <f>IF(M29&lt;0,-M29*Entradas!$B$8/12,0)</f>
        <v/>
      </c>
      <c r="K30" s="17">
        <f>SUM(F30:J30)</f>
        <v/>
      </c>
      <c r="L30" s="17">
        <f>E30-K30</f>
        <v/>
      </c>
      <c r="M30" s="17">
        <f>M29+L30</f>
        <v/>
      </c>
    </row>
    <row r="31">
      <c r="A31" s="9" t="n">
        <v>27</v>
      </c>
      <c r="B31" s="17">
        <f>SUMPRODUCT((Entradas!$B$12:$B$14=$A31)*Entradas!$C$12:$C$14)*0.4</f>
        <v/>
      </c>
      <c r="C31" s="17">
        <f>SUMPRODUCT(((Entradas!$B$12:$B$14+Entradas!$D$12:$D$14)=$A31)*Entradas!$C$12:$C$14)*0.5</f>
        <v/>
      </c>
      <c r="D31" s="17">
        <f>SUMPRODUCT(((Entradas!$B$12:$B$14+Entradas!$D$12:$D$14+12)=$A31)*Entradas!$C$12:$C$14)*0.1</f>
        <v/>
      </c>
      <c r="E31" s="17">
        <f>SUM(B31:D31)</f>
        <v/>
      </c>
      <c r="F31" s="17">
        <f>SUMPRODUCT(((Entradas!$B$12:$B$14-Entradas!$B$6)=$A31)*Entradas!$E$12:$E$14)*Entradas!$B$4</f>
        <v/>
      </c>
      <c r="G31" s="17">
        <f>SUMPRODUCT((Entradas!$B$12:$B$14=$A31)*Entradas!$E$12:$E$14)*Entradas!$B$5</f>
        <v/>
      </c>
      <c r="H31" s="17">
        <f>SUMPRODUCT((Entradas!$B$12:$B$14&lt;=$A31)*((Entradas!$B$12:$B$14+Entradas!$D$12:$D$14)&gt;$A31)*(Entradas!$F$12:$F$14/(Entradas!$D$12:$D$14+(Entradas!$D$12:$D$14=0))))</f>
        <v/>
      </c>
      <c r="I31" s="17">
        <f>Entradas!$B$3*0.06*Entradas!$B$7/12</f>
        <v/>
      </c>
      <c r="J31" s="17">
        <f>IF(M30&lt;0,-M30*Entradas!$B$8/12,0)</f>
        <v/>
      </c>
      <c r="K31" s="17">
        <f>SUM(F31:J31)</f>
        <v/>
      </c>
      <c r="L31" s="17">
        <f>E31-K31</f>
        <v/>
      </c>
      <c r="M31" s="17">
        <f>M30+L31</f>
        <v/>
      </c>
    </row>
    <row r="32">
      <c r="A32" s="9" t="n">
        <v>28</v>
      </c>
      <c r="B32" s="17">
        <f>SUMPRODUCT((Entradas!$B$12:$B$14=$A32)*Entradas!$C$12:$C$14)*0.4</f>
        <v/>
      </c>
      <c r="C32" s="17">
        <f>SUMPRODUCT(((Entradas!$B$12:$B$14+Entradas!$D$12:$D$14)=$A32)*Entradas!$C$12:$C$14)*0.5</f>
        <v/>
      </c>
      <c r="D32" s="17">
        <f>SUMPRODUCT(((Entradas!$B$12:$B$14+Entradas!$D$12:$D$14+12)=$A32)*Entradas!$C$12:$C$14)*0.1</f>
        <v/>
      </c>
      <c r="E32" s="17">
        <f>SUM(B32:D32)</f>
        <v/>
      </c>
      <c r="F32" s="17">
        <f>SUMPRODUCT(((Entradas!$B$12:$B$14-Entradas!$B$6)=$A32)*Entradas!$E$12:$E$14)*Entradas!$B$4</f>
        <v/>
      </c>
      <c r="G32" s="17">
        <f>SUMPRODUCT((Entradas!$B$12:$B$14=$A32)*Entradas!$E$12:$E$14)*Entradas!$B$5</f>
        <v/>
      </c>
      <c r="H32" s="17">
        <f>SUMPRODUCT((Entradas!$B$12:$B$14&lt;=$A32)*((Entradas!$B$12:$B$14+Entradas!$D$12:$D$14)&gt;$A32)*(Entradas!$F$12:$F$14/(Entradas!$D$12:$D$14+(Entradas!$D$12:$D$14=0))))</f>
        <v/>
      </c>
      <c r="I32" s="17">
        <f>Entradas!$B$3*0.06*Entradas!$B$7/12</f>
        <v/>
      </c>
      <c r="J32" s="17">
        <f>IF(M31&lt;0,-M31*Entradas!$B$8/12,0)</f>
        <v/>
      </c>
      <c r="K32" s="17">
        <f>SUM(F32:J32)</f>
        <v/>
      </c>
      <c r="L32" s="17">
        <f>E32-K32</f>
        <v/>
      </c>
      <c r="M32" s="17">
        <f>M31+L32</f>
        <v/>
      </c>
    </row>
    <row r="33">
      <c r="A33" s="9" t="n">
        <v>29</v>
      </c>
      <c r="B33" s="17">
        <f>SUMPRODUCT((Entradas!$B$12:$B$14=$A33)*Entradas!$C$12:$C$14)*0.4</f>
        <v/>
      </c>
      <c r="C33" s="17">
        <f>SUMPRODUCT(((Entradas!$B$12:$B$14+Entradas!$D$12:$D$14)=$A33)*Entradas!$C$12:$C$14)*0.5</f>
        <v/>
      </c>
      <c r="D33" s="17">
        <f>SUMPRODUCT(((Entradas!$B$12:$B$14+Entradas!$D$12:$D$14+12)=$A33)*Entradas!$C$12:$C$14)*0.1</f>
        <v/>
      </c>
      <c r="E33" s="17">
        <f>SUM(B33:D33)</f>
        <v/>
      </c>
      <c r="F33" s="17">
        <f>SUMPRODUCT(((Entradas!$B$12:$B$14-Entradas!$B$6)=$A33)*Entradas!$E$12:$E$14)*Entradas!$B$4</f>
        <v/>
      </c>
      <c r="G33" s="17">
        <f>SUMPRODUCT((Entradas!$B$12:$B$14=$A33)*Entradas!$E$12:$E$14)*Entradas!$B$5</f>
        <v/>
      </c>
      <c r="H33" s="17">
        <f>SUMPRODUCT((Entradas!$B$12:$B$14&lt;=$A33)*((Entradas!$B$12:$B$14+Entradas!$D$12:$D$14)&gt;$A33)*(Entradas!$F$12:$F$14/(Entradas!$D$12:$D$14+(Entradas!$D$12:$D$14=0))))</f>
        <v/>
      </c>
      <c r="I33" s="17">
        <f>Entradas!$B$3*0.06*Entradas!$B$7/12</f>
        <v/>
      </c>
      <c r="J33" s="17">
        <f>IF(M32&lt;0,-M32*Entradas!$B$8/12,0)</f>
        <v/>
      </c>
      <c r="K33" s="17">
        <f>SUM(F33:J33)</f>
        <v/>
      </c>
      <c r="L33" s="17">
        <f>E33-K33</f>
        <v/>
      </c>
      <c r="M33" s="17">
        <f>M32+L33</f>
        <v/>
      </c>
    </row>
    <row r="34">
      <c r="A34" s="9" t="n">
        <v>30</v>
      </c>
      <c r="B34" s="17">
        <f>SUMPRODUCT((Entradas!$B$12:$B$14=$A34)*Entradas!$C$12:$C$14)*0.4</f>
        <v/>
      </c>
      <c r="C34" s="17">
        <f>SUMPRODUCT(((Entradas!$B$12:$B$14+Entradas!$D$12:$D$14)=$A34)*Entradas!$C$12:$C$14)*0.5</f>
        <v/>
      </c>
      <c r="D34" s="17">
        <f>SUMPRODUCT(((Entradas!$B$12:$B$14+Entradas!$D$12:$D$14+12)=$A34)*Entradas!$C$12:$C$14)*0.1</f>
        <v/>
      </c>
      <c r="E34" s="17">
        <f>SUM(B34:D34)</f>
        <v/>
      </c>
      <c r="F34" s="17">
        <f>SUMPRODUCT(((Entradas!$B$12:$B$14-Entradas!$B$6)=$A34)*Entradas!$E$12:$E$14)*Entradas!$B$4</f>
        <v/>
      </c>
      <c r="G34" s="17">
        <f>SUMPRODUCT((Entradas!$B$12:$B$14=$A34)*Entradas!$E$12:$E$14)*Entradas!$B$5</f>
        <v/>
      </c>
      <c r="H34" s="17">
        <f>SUMPRODUCT((Entradas!$B$12:$B$14&lt;=$A34)*((Entradas!$B$12:$B$14+Entradas!$D$12:$D$14)&gt;$A34)*(Entradas!$F$12:$F$14/(Entradas!$D$12:$D$14+(Entradas!$D$12:$D$14=0))))</f>
        <v/>
      </c>
      <c r="I34" s="17">
        <f>Entradas!$B$3*0.06*Entradas!$B$7/12</f>
        <v/>
      </c>
      <c r="J34" s="17">
        <f>IF(M33&lt;0,-M33*Entradas!$B$8/12,0)</f>
        <v/>
      </c>
      <c r="K34" s="17">
        <f>SUM(F34:J34)</f>
        <v/>
      </c>
      <c r="L34" s="17">
        <f>E34-K34</f>
        <v/>
      </c>
      <c r="M34" s="17">
        <f>M33+L34</f>
        <v/>
      </c>
    </row>
    <row r="35">
      <c r="A35" s="9" t="n">
        <v>31</v>
      </c>
      <c r="B35" s="17">
        <f>SUMPRODUCT((Entradas!$B$12:$B$14=$A35)*Entradas!$C$12:$C$14)*0.4</f>
        <v/>
      </c>
      <c r="C35" s="17">
        <f>SUMPRODUCT(((Entradas!$B$12:$B$14+Entradas!$D$12:$D$14)=$A35)*Entradas!$C$12:$C$14)*0.5</f>
        <v/>
      </c>
      <c r="D35" s="17">
        <f>SUMPRODUCT(((Entradas!$B$12:$B$14+Entradas!$D$12:$D$14+12)=$A35)*Entradas!$C$12:$C$14)*0.1</f>
        <v/>
      </c>
      <c r="E35" s="17">
        <f>SUM(B35:D35)</f>
        <v/>
      </c>
      <c r="F35" s="17">
        <f>SUMPRODUCT(((Entradas!$B$12:$B$14-Entradas!$B$6)=$A35)*Entradas!$E$12:$E$14)*Entradas!$B$4</f>
        <v/>
      </c>
      <c r="G35" s="17">
        <f>SUMPRODUCT((Entradas!$B$12:$B$14=$A35)*Entradas!$E$12:$E$14)*Entradas!$B$5</f>
        <v/>
      </c>
      <c r="H35" s="17">
        <f>SUMPRODUCT((Entradas!$B$12:$B$14&lt;=$A35)*((Entradas!$B$12:$B$14+Entradas!$D$12:$D$14)&gt;$A35)*(Entradas!$F$12:$F$14/(Entradas!$D$12:$D$14+(Entradas!$D$12:$D$14=0))))</f>
        <v/>
      </c>
      <c r="I35" s="17">
        <f>Entradas!$B$3*0.06*Entradas!$B$7/12</f>
        <v/>
      </c>
      <c r="J35" s="17">
        <f>IF(M34&lt;0,-M34*Entradas!$B$8/12,0)</f>
        <v/>
      </c>
      <c r="K35" s="17">
        <f>SUM(F35:J35)</f>
        <v/>
      </c>
      <c r="L35" s="17">
        <f>E35-K35</f>
        <v/>
      </c>
      <c r="M35" s="17">
        <f>M34+L35</f>
        <v/>
      </c>
    </row>
    <row r="36">
      <c r="A36" s="9" t="n">
        <v>32</v>
      </c>
      <c r="B36" s="17">
        <f>SUMPRODUCT((Entradas!$B$12:$B$14=$A36)*Entradas!$C$12:$C$14)*0.4</f>
        <v/>
      </c>
      <c r="C36" s="17">
        <f>SUMPRODUCT(((Entradas!$B$12:$B$14+Entradas!$D$12:$D$14)=$A36)*Entradas!$C$12:$C$14)*0.5</f>
        <v/>
      </c>
      <c r="D36" s="17">
        <f>SUMPRODUCT(((Entradas!$B$12:$B$14+Entradas!$D$12:$D$14+12)=$A36)*Entradas!$C$12:$C$14)*0.1</f>
        <v/>
      </c>
      <c r="E36" s="17">
        <f>SUM(B36:D36)</f>
        <v/>
      </c>
      <c r="F36" s="17">
        <f>SUMPRODUCT(((Entradas!$B$12:$B$14-Entradas!$B$6)=$A36)*Entradas!$E$12:$E$14)*Entradas!$B$4</f>
        <v/>
      </c>
      <c r="G36" s="17">
        <f>SUMPRODUCT((Entradas!$B$12:$B$14=$A36)*Entradas!$E$12:$E$14)*Entradas!$B$5</f>
        <v/>
      </c>
      <c r="H36" s="17">
        <f>SUMPRODUCT((Entradas!$B$12:$B$14&lt;=$A36)*((Entradas!$B$12:$B$14+Entradas!$D$12:$D$14)&gt;$A36)*(Entradas!$F$12:$F$14/(Entradas!$D$12:$D$14+(Entradas!$D$12:$D$14=0))))</f>
        <v/>
      </c>
      <c r="I36" s="17">
        <f>Entradas!$B$3*0.06*Entradas!$B$7/12</f>
        <v/>
      </c>
      <c r="J36" s="17">
        <f>IF(M35&lt;0,-M35*Entradas!$B$8/12,0)</f>
        <v/>
      </c>
      <c r="K36" s="17">
        <f>SUM(F36:J36)</f>
        <v/>
      </c>
      <c r="L36" s="17">
        <f>E36-K36</f>
        <v/>
      </c>
      <c r="M36" s="17">
        <f>M35+L36</f>
        <v/>
      </c>
    </row>
    <row r="37">
      <c r="A37" s="9" t="n">
        <v>33</v>
      </c>
      <c r="B37" s="17">
        <f>SUMPRODUCT((Entradas!$B$12:$B$14=$A37)*Entradas!$C$12:$C$14)*0.4</f>
        <v/>
      </c>
      <c r="C37" s="17">
        <f>SUMPRODUCT(((Entradas!$B$12:$B$14+Entradas!$D$12:$D$14)=$A37)*Entradas!$C$12:$C$14)*0.5</f>
        <v/>
      </c>
      <c r="D37" s="17">
        <f>SUMPRODUCT(((Entradas!$B$12:$B$14+Entradas!$D$12:$D$14+12)=$A37)*Entradas!$C$12:$C$14)*0.1</f>
        <v/>
      </c>
      <c r="E37" s="17">
        <f>SUM(B37:D37)</f>
        <v/>
      </c>
      <c r="F37" s="17">
        <f>SUMPRODUCT(((Entradas!$B$12:$B$14-Entradas!$B$6)=$A37)*Entradas!$E$12:$E$14)*Entradas!$B$4</f>
        <v/>
      </c>
      <c r="G37" s="17">
        <f>SUMPRODUCT((Entradas!$B$12:$B$14=$A37)*Entradas!$E$12:$E$14)*Entradas!$B$5</f>
        <v/>
      </c>
      <c r="H37" s="17">
        <f>SUMPRODUCT((Entradas!$B$12:$B$14&lt;=$A37)*((Entradas!$B$12:$B$14+Entradas!$D$12:$D$14)&gt;$A37)*(Entradas!$F$12:$F$14/(Entradas!$D$12:$D$14+(Entradas!$D$12:$D$14=0))))</f>
        <v/>
      </c>
      <c r="I37" s="17">
        <f>Entradas!$B$3*0.06*Entradas!$B$7/12</f>
        <v/>
      </c>
      <c r="J37" s="17">
        <f>IF(M36&lt;0,-M36*Entradas!$B$8/12,0)</f>
        <v/>
      </c>
      <c r="K37" s="17">
        <f>SUM(F37:J37)</f>
        <v/>
      </c>
      <c r="L37" s="17">
        <f>E37-K37</f>
        <v/>
      </c>
      <c r="M37" s="17">
        <f>M36+L37</f>
        <v/>
      </c>
    </row>
    <row r="38">
      <c r="A38" s="9" t="n">
        <v>34</v>
      </c>
      <c r="B38" s="17">
        <f>SUMPRODUCT((Entradas!$B$12:$B$14=$A38)*Entradas!$C$12:$C$14)*0.4</f>
        <v/>
      </c>
      <c r="C38" s="17">
        <f>SUMPRODUCT(((Entradas!$B$12:$B$14+Entradas!$D$12:$D$14)=$A38)*Entradas!$C$12:$C$14)*0.5</f>
        <v/>
      </c>
      <c r="D38" s="17">
        <f>SUMPRODUCT(((Entradas!$B$12:$B$14+Entradas!$D$12:$D$14+12)=$A38)*Entradas!$C$12:$C$14)*0.1</f>
        <v/>
      </c>
      <c r="E38" s="17">
        <f>SUM(B38:D38)</f>
        <v/>
      </c>
      <c r="F38" s="17">
        <f>SUMPRODUCT(((Entradas!$B$12:$B$14-Entradas!$B$6)=$A38)*Entradas!$E$12:$E$14)*Entradas!$B$4</f>
        <v/>
      </c>
      <c r="G38" s="17">
        <f>SUMPRODUCT((Entradas!$B$12:$B$14=$A38)*Entradas!$E$12:$E$14)*Entradas!$B$5</f>
        <v/>
      </c>
      <c r="H38" s="17">
        <f>SUMPRODUCT((Entradas!$B$12:$B$14&lt;=$A38)*((Entradas!$B$12:$B$14+Entradas!$D$12:$D$14)&gt;$A38)*(Entradas!$F$12:$F$14/(Entradas!$D$12:$D$14+(Entradas!$D$12:$D$14=0))))</f>
        <v/>
      </c>
      <c r="I38" s="17">
        <f>Entradas!$B$3*0.06*Entradas!$B$7/12</f>
        <v/>
      </c>
      <c r="J38" s="17">
        <f>IF(M37&lt;0,-M37*Entradas!$B$8/12,0)</f>
        <v/>
      </c>
      <c r="K38" s="17">
        <f>SUM(F38:J38)</f>
        <v/>
      </c>
      <c r="L38" s="17">
        <f>E38-K38</f>
        <v/>
      </c>
      <c r="M38" s="17">
        <f>M37+L38</f>
        <v/>
      </c>
    </row>
    <row r="39">
      <c r="A39" s="9" t="n">
        <v>35</v>
      </c>
      <c r="B39" s="17">
        <f>SUMPRODUCT((Entradas!$B$12:$B$14=$A39)*Entradas!$C$12:$C$14)*0.4</f>
        <v/>
      </c>
      <c r="C39" s="17">
        <f>SUMPRODUCT(((Entradas!$B$12:$B$14+Entradas!$D$12:$D$14)=$A39)*Entradas!$C$12:$C$14)*0.5</f>
        <v/>
      </c>
      <c r="D39" s="17">
        <f>SUMPRODUCT(((Entradas!$B$12:$B$14+Entradas!$D$12:$D$14+12)=$A39)*Entradas!$C$12:$C$14)*0.1</f>
        <v/>
      </c>
      <c r="E39" s="17">
        <f>SUM(B39:D39)</f>
        <v/>
      </c>
      <c r="F39" s="17">
        <f>SUMPRODUCT(((Entradas!$B$12:$B$14-Entradas!$B$6)=$A39)*Entradas!$E$12:$E$14)*Entradas!$B$4</f>
        <v/>
      </c>
      <c r="G39" s="17">
        <f>SUMPRODUCT((Entradas!$B$12:$B$14=$A39)*Entradas!$E$12:$E$14)*Entradas!$B$5</f>
        <v/>
      </c>
      <c r="H39" s="17">
        <f>SUMPRODUCT((Entradas!$B$12:$B$14&lt;=$A39)*((Entradas!$B$12:$B$14+Entradas!$D$12:$D$14)&gt;$A39)*(Entradas!$F$12:$F$14/(Entradas!$D$12:$D$14+(Entradas!$D$12:$D$14=0))))</f>
        <v/>
      </c>
      <c r="I39" s="17">
        <f>Entradas!$B$3*0.06*Entradas!$B$7/12</f>
        <v/>
      </c>
      <c r="J39" s="17">
        <f>IF(M38&lt;0,-M38*Entradas!$B$8/12,0)</f>
        <v/>
      </c>
      <c r="K39" s="17">
        <f>SUM(F39:J39)</f>
        <v/>
      </c>
      <c r="L39" s="17">
        <f>E39-K39</f>
        <v/>
      </c>
      <c r="M39" s="17">
        <f>M38+L39</f>
        <v/>
      </c>
    </row>
    <row r="40">
      <c r="A40" s="9" t="n">
        <v>36</v>
      </c>
      <c r="B40" s="17">
        <f>SUMPRODUCT((Entradas!$B$12:$B$14=$A40)*Entradas!$C$12:$C$14)*0.4</f>
        <v/>
      </c>
      <c r="C40" s="17">
        <f>SUMPRODUCT(((Entradas!$B$12:$B$14+Entradas!$D$12:$D$14)=$A40)*Entradas!$C$12:$C$14)*0.5</f>
        <v/>
      </c>
      <c r="D40" s="17">
        <f>SUMPRODUCT(((Entradas!$B$12:$B$14+Entradas!$D$12:$D$14+12)=$A40)*Entradas!$C$12:$C$14)*0.1</f>
        <v/>
      </c>
      <c r="E40" s="17">
        <f>SUM(B40:D40)</f>
        <v/>
      </c>
      <c r="F40" s="17">
        <f>SUMPRODUCT(((Entradas!$B$12:$B$14-Entradas!$B$6)=$A40)*Entradas!$E$12:$E$14)*Entradas!$B$4</f>
        <v/>
      </c>
      <c r="G40" s="17">
        <f>SUMPRODUCT((Entradas!$B$12:$B$14=$A40)*Entradas!$E$12:$E$14)*Entradas!$B$5</f>
        <v/>
      </c>
      <c r="H40" s="17">
        <f>SUMPRODUCT((Entradas!$B$12:$B$14&lt;=$A40)*((Entradas!$B$12:$B$14+Entradas!$D$12:$D$14)&gt;$A40)*(Entradas!$F$12:$F$14/(Entradas!$D$12:$D$14+(Entradas!$D$12:$D$14=0))))</f>
        <v/>
      </c>
      <c r="I40" s="17">
        <f>Entradas!$B$3*0.06*Entradas!$B$7/12</f>
        <v/>
      </c>
      <c r="J40" s="17">
        <f>IF(M39&lt;0,-M39*Entradas!$B$8/12,0)</f>
        <v/>
      </c>
      <c r="K40" s="17">
        <f>SUM(F40:J40)</f>
        <v/>
      </c>
      <c r="L40" s="17">
        <f>E40-K40</f>
        <v/>
      </c>
      <c r="M40" s="17">
        <f>M39+L40</f>
        <v/>
      </c>
    </row>
    <row r="41">
      <c r="A41" s="9" t="n">
        <v>37</v>
      </c>
      <c r="B41" s="17">
        <f>SUMPRODUCT((Entradas!$B$12:$B$14=$A41)*Entradas!$C$12:$C$14)*0.4</f>
        <v/>
      </c>
      <c r="C41" s="17">
        <f>SUMPRODUCT(((Entradas!$B$12:$B$14+Entradas!$D$12:$D$14)=$A41)*Entradas!$C$12:$C$14)*0.5</f>
        <v/>
      </c>
      <c r="D41" s="17">
        <f>SUMPRODUCT(((Entradas!$B$12:$B$14+Entradas!$D$12:$D$14+12)=$A41)*Entradas!$C$12:$C$14)*0.1</f>
        <v/>
      </c>
      <c r="E41" s="17">
        <f>SUM(B41:D41)</f>
        <v/>
      </c>
      <c r="F41" s="17">
        <f>SUMPRODUCT(((Entradas!$B$12:$B$14-Entradas!$B$6)=$A41)*Entradas!$E$12:$E$14)*Entradas!$B$4</f>
        <v/>
      </c>
      <c r="G41" s="17">
        <f>SUMPRODUCT((Entradas!$B$12:$B$14=$A41)*Entradas!$E$12:$E$14)*Entradas!$B$5</f>
        <v/>
      </c>
      <c r="H41" s="17">
        <f>SUMPRODUCT((Entradas!$B$12:$B$14&lt;=$A41)*((Entradas!$B$12:$B$14+Entradas!$D$12:$D$14)&gt;$A41)*(Entradas!$F$12:$F$14/(Entradas!$D$12:$D$14+(Entradas!$D$12:$D$14=0))))</f>
        <v/>
      </c>
      <c r="I41" s="17">
        <f>Entradas!$B$3*0.06*Entradas!$B$7/12</f>
        <v/>
      </c>
      <c r="J41" s="17">
        <f>IF(M40&lt;0,-M40*Entradas!$B$8/12,0)</f>
        <v/>
      </c>
      <c r="K41" s="17">
        <f>SUM(F41:J41)</f>
        <v/>
      </c>
      <c r="L41" s="17">
        <f>E41-K41</f>
        <v/>
      </c>
      <c r="M41" s="17">
        <f>M40+L41</f>
        <v/>
      </c>
    </row>
    <row r="42">
      <c r="A42" s="9" t="n">
        <v>38</v>
      </c>
      <c r="B42" s="17">
        <f>SUMPRODUCT((Entradas!$B$12:$B$14=$A42)*Entradas!$C$12:$C$14)*0.4</f>
        <v/>
      </c>
      <c r="C42" s="17">
        <f>SUMPRODUCT(((Entradas!$B$12:$B$14+Entradas!$D$12:$D$14)=$A42)*Entradas!$C$12:$C$14)*0.5</f>
        <v/>
      </c>
      <c r="D42" s="17">
        <f>SUMPRODUCT(((Entradas!$B$12:$B$14+Entradas!$D$12:$D$14+12)=$A42)*Entradas!$C$12:$C$14)*0.1</f>
        <v/>
      </c>
      <c r="E42" s="17">
        <f>SUM(B42:D42)</f>
        <v/>
      </c>
      <c r="F42" s="17">
        <f>SUMPRODUCT(((Entradas!$B$12:$B$14-Entradas!$B$6)=$A42)*Entradas!$E$12:$E$14)*Entradas!$B$4</f>
        <v/>
      </c>
      <c r="G42" s="17">
        <f>SUMPRODUCT((Entradas!$B$12:$B$14=$A42)*Entradas!$E$12:$E$14)*Entradas!$B$5</f>
        <v/>
      </c>
      <c r="H42" s="17">
        <f>SUMPRODUCT((Entradas!$B$12:$B$14&lt;=$A42)*((Entradas!$B$12:$B$14+Entradas!$D$12:$D$14)&gt;$A42)*(Entradas!$F$12:$F$14/(Entradas!$D$12:$D$14+(Entradas!$D$12:$D$14=0))))</f>
        <v/>
      </c>
      <c r="I42" s="17">
        <f>Entradas!$B$3*0.06*Entradas!$B$7/12</f>
        <v/>
      </c>
      <c r="J42" s="17">
        <f>IF(M41&lt;0,-M41*Entradas!$B$8/12,0)</f>
        <v/>
      </c>
      <c r="K42" s="17">
        <f>SUM(F42:J42)</f>
        <v/>
      </c>
      <c r="L42" s="17">
        <f>E42-K42</f>
        <v/>
      </c>
      <c r="M42" s="17">
        <f>M41+L42</f>
        <v/>
      </c>
    </row>
    <row r="43">
      <c r="A43" s="9" t="n">
        <v>39</v>
      </c>
      <c r="B43" s="17">
        <f>SUMPRODUCT((Entradas!$B$12:$B$14=$A43)*Entradas!$C$12:$C$14)*0.4</f>
        <v/>
      </c>
      <c r="C43" s="17">
        <f>SUMPRODUCT(((Entradas!$B$12:$B$14+Entradas!$D$12:$D$14)=$A43)*Entradas!$C$12:$C$14)*0.5</f>
        <v/>
      </c>
      <c r="D43" s="17">
        <f>SUMPRODUCT(((Entradas!$B$12:$B$14+Entradas!$D$12:$D$14+12)=$A43)*Entradas!$C$12:$C$14)*0.1</f>
        <v/>
      </c>
      <c r="E43" s="17">
        <f>SUM(B43:D43)</f>
        <v/>
      </c>
      <c r="F43" s="17">
        <f>SUMPRODUCT(((Entradas!$B$12:$B$14-Entradas!$B$6)=$A43)*Entradas!$E$12:$E$14)*Entradas!$B$4</f>
        <v/>
      </c>
      <c r="G43" s="17">
        <f>SUMPRODUCT((Entradas!$B$12:$B$14=$A43)*Entradas!$E$12:$E$14)*Entradas!$B$5</f>
        <v/>
      </c>
      <c r="H43" s="17">
        <f>SUMPRODUCT((Entradas!$B$12:$B$14&lt;=$A43)*((Entradas!$B$12:$B$14+Entradas!$D$12:$D$14)&gt;$A43)*(Entradas!$F$12:$F$14/(Entradas!$D$12:$D$14+(Entradas!$D$12:$D$14=0))))</f>
        <v/>
      </c>
      <c r="I43" s="17">
        <f>Entradas!$B$3*0.06*Entradas!$B$7/12</f>
        <v/>
      </c>
      <c r="J43" s="17">
        <f>IF(M42&lt;0,-M42*Entradas!$B$8/12,0)</f>
        <v/>
      </c>
      <c r="K43" s="17">
        <f>SUM(F43:J43)</f>
        <v/>
      </c>
      <c r="L43" s="17">
        <f>E43-K43</f>
        <v/>
      </c>
      <c r="M43" s="17">
        <f>M42+L43</f>
        <v/>
      </c>
    </row>
    <row r="44">
      <c r="A44" s="9" t="n">
        <v>40</v>
      </c>
      <c r="B44" s="17">
        <f>SUMPRODUCT((Entradas!$B$12:$B$14=$A44)*Entradas!$C$12:$C$14)*0.4</f>
        <v/>
      </c>
      <c r="C44" s="17">
        <f>SUMPRODUCT(((Entradas!$B$12:$B$14+Entradas!$D$12:$D$14)=$A44)*Entradas!$C$12:$C$14)*0.5</f>
        <v/>
      </c>
      <c r="D44" s="17">
        <f>SUMPRODUCT(((Entradas!$B$12:$B$14+Entradas!$D$12:$D$14+12)=$A44)*Entradas!$C$12:$C$14)*0.1</f>
        <v/>
      </c>
      <c r="E44" s="17">
        <f>SUM(B44:D44)</f>
        <v/>
      </c>
      <c r="F44" s="17">
        <f>SUMPRODUCT(((Entradas!$B$12:$B$14-Entradas!$B$6)=$A44)*Entradas!$E$12:$E$14)*Entradas!$B$4</f>
        <v/>
      </c>
      <c r="G44" s="17">
        <f>SUMPRODUCT((Entradas!$B$12:$B$14=$A44)*Entradas!$E$12:$E$14)*Entradas!$B$5</f>
        <v/>
      </c>
      <c r="H44" s="17">
        <f>SUMPRODUCT((Entradas!$B$12:$B$14&lt;=$A44)*((Entradas!$B$12:$B$14+Entradas!$D$12:$D$14)&gt;$A44)*(Entradas!$F$12:$F$14/(Entradas!$D$12:$D$14+(Entradas!$D$12:$D$14=0))))</f>
        <v/>
      </c>
      <c r="I44" s="17">
        <f>Entradas!$B$3*0.06*Entradas!$B$7/12</f>
        <v/>
      </c>
      <c r="J44" s="17">
        <f>IF(M43&lt;0,-M43*Entradas!$B$8/12,0)</f>
        <v/>
      </c>
      <c r="K44" s="17">
        <f>SUM(F44:J44)</f>
        <v/>
      </c>
      <c r="L44" s="17">
        <f>E44-K44</f>
        <v/>
      </c>
      <c r="M44" s="17">
        <f>M43+L44</f>
        <v/>
      </c>
    </row>
    <row r="45">
      <c r="A45" s="9" t="n">
        <v>41</v>
      </c>
      <c r="B45" s="17">
        <f>SUMPRODUCT((Entradas!$B$12:$B$14=$A45)*Entradas!$C$12:$C$14)*0.4</f>
        <v/>
      </c>
      <c r="C45" s="17">
        <f>SUMPRODUCT(((Entradas!$B$12:$B$14+Entradas!$D$12:$D$14)=$A45)*Entradas!$C$12:$C$14)*0.5</f>
        <v/>
      </c>
      <c r="D45" s="17">
        <f>SUMPRODUCT(((Entradas!$B$12:$B$14+Entradas!$D$12:$D$14+12)=$A45)*Entradas!$C$12:$C$14)*0.1</f>
        <v/>
      </c>
      <c r="E45" s="17">
        <f>SUM(B45:D45)</f>
        <v/>
      </c>
      <c r="F45" s="17">
        <f>SUMPRODUCT(((Entradas!$B$12:$B$14-Entradas!$B$6)=$A45)*Entradas!$E$12:$E$14)*Entradas!$B$4</f>
        <v/>
      </c>
      <c r="G45" s="17">
        <f>SUMPRODUCT((Entradas!$B$12:$B$14=$A45)*Entradas!$E$12:$E$14)*Entradas!$B$5</f>
        <v/>
      </c>
      <c r="H45" s="17">
        <f>SUMPRODUCT((Entradas!$B$12:$B$14&lt;=$A45)*((Entradas!$B$12:$B$14+Entradas!$D$12:$D$14)&gt;$A45)*(Entradas!$F$12:$F$14/(Entradas!$D$12:$D$14+(Entradas!$D$12:$D$14=0))))</f>
        <v/>
      </c>
      <c r="I45" s="17">
        <f>Entradas!$B$3*0.06*Entradas!$B$7/12</f>
        <v/>
      </c>
      <c r="J45" s="17">
        <f>IF(M44&lt;0,-M44*Entradas!$B$8/12,0)</f>
        <v/>
      </c>
      <c r="K45" s="17">
        <f>SUM(F45:J45)</f>
        <v/>
      </c>
      <c r="L45" s="17">
        <f>E45-K45</f>
        <v/>
      </c>
      <c r="M45" s="17">
        <f>M44+L45</f>
        <v/>
      </c>
    </row>
    <row r="46">
      <c r="A46" s="9" t="n">
        <v>42</v>
      </c>
      <c r="B46" s="17">
        <f>SUMPRODUCT((Entradas!$B$12:$B$14=$A46)*Entradas!$C$12:$C$14)*0.4</f>
        <v/>
      </c>
      <c r="C46" s="17">
        <f>SUMPRODUCT(((Entradas!$B$12:$B$14+Entradas!$D$12:$D$14)=$A46)*Entradas!$C$12:$C$14)*0.5</f>
        <v/>
      </c>
      <c r="D46" s="17">
        <f>SUMPRODUCT(((Entradas!$B$12:$B$14+Entradas!$D$12:$D$14+12)=$A46)*Entradas!$C$12:$C$14)*0.1</f>
        <v/>
      </c>
      <c r="E46" s="17">
        <f>SUM(B46:D46)</f>
        <v/>
      </c>
      <c r="F46" s="17">
        <f>SUMPRODUCT(((Entradas!$B$12:$B$14-Entradas!$B$6)=$A46)*Entradas!$E$12:$E$14)*Entradas!$B$4</f>
        <v/>
      </c>
      <c r="G46" s="17">
        <f>SUMPRODUCT((Entradas!$B$12:$B$14=$A46)*Entradas!$E$12:$E$14)*Entradas!$B$5</f>
        <v/>
      </c>
      <c r="H46" s="17">
        <f>SUMPRODUCT((Entradas!$B$12:$B$14&lt;=$A46)*((Entradas!$B$12:$B$14+Entradas!$D$12:$D$14)&gt;$A46)*(Entradas!$F$12:$F$14/(Entradas!$D$12:$D$14+(Entradas!$D$12:$D$14=0))))</f>
        <v/>
      </c>
      <c r="I46" s="17">
        <f>Entradas!$B$3*0.06*Entradas!$B$7/12</f>
        <v/>
      </c>
      <c r="J46" s="17">
        <f>IF(M45&lt;0,-M45*Entradas!$B$8/12,0)</f>
        <v/>
      </c>
      <c r="K46" s="17">
        <f>SUM(F46:J46)</f>
        <v/>
      </c>
      <c r="L46" s="17">
        <f>E46-K46</f>
        <v/>
      </c>
      <c r="M46" s="17">
        <f>M45+L46</f>
        <v/>
      </c>
    </row>
    <row r="47">
      <c r="A47" s="9" t="n">
        <v>43</v>
      </c>
      <c r="B47" s="17">
        <f>SUMPRODUCT((Entradas!$B$12:$B$14=$A47)*Entradas!$C$12:$C$14)*0.4</f>
        <v/>
      </c>
      <c r="C47" s="17">
        <f>SUMPRODUCT(((Entradas!$B$12:$B$14+Entradas!$D$12:$D$14)=$A47)*Entradas!$C$12:$C$14)*0.5</f>
        <v/>
      </c>
      <c r="D47" s="17">
        <f>SUMPRODUCT(((Entradas!$B$12:$B$14+Entradas!$D$12:$D$14+12)=$A47)*Entradas!$C$12:$C$14)*0.1</f>
        <v/>
      </c>
      <c r="E47" s="17">
        <f>SUM(B47:D47)</f>
        <v/>
      </c>
      <c r="F47" s="17">
        <f>SUMPRODUCT(((Entradas!$B$12:$B$14-Entradas!$B$6)=$A47)*Entradas!$E$12:$E$14)*Entradas!$B$4</f>
        <v/>
      </c>
      <c r="G47" s="17">
        <f>SUMPRODUCT((Entradas!$B$12:$B$14=$A47)*Entradas!$E$12:$E$14)*Entradas!$B$5</f>
        <v/>
      </c>
      <c r="H47" s="17">
        <f>SUMPRODUCT((Entradas!$B$12:$B$14&lt;=$A47)*((Entradas!$B$12:$B$14+Entradas!$D$12:$D$14)&gt;$A47)*(Entradas!$F$12:$F$14/(Entradas!$D$12:$D$14+(Entradas!$D$12:$D$14=0))))</f>
        <v/>
      </c>
      <c r="I47" s="17">
        <f>Entradas!$B$3*0.06*Entradas!$B$7/12</f>
        <v/>
      </c>
      <c r="J47" s="17">
        <f>IF(M46&lt;0,-M46*Entradas!$B$8/12,0)</f>
        <v/>
      </c>
      <c r="K47" s="17">
        <f>SUM(F47:J47)</f>
        <v/>
      </c>
      <c r="L47" s="17">
        <f>E47-K47</f>
        <v/>
      </c>
      <c r="M47" s="17">
        <f>M46+L47</f>
        <v/>
      </c>
    </row>
    <row r="48">
      <c r="A48" s="9" t="n">
        <v>44</v>
      </c>
      <c r="B48" s="17">
        <f>SUMPRODUCT((Entradas!$B$12:$B$14=$A48)*Entradas!$C$12:$C$14)*0.4</f>
        <v/>
      </c>
      <c r="C48" s="17">
        <f>SUMPRODUCT(((Entradas!$B$12:$B$14+Entradas!$D$12:$D$14)=$A48)*Entradas!$C$12:$C$14)*0.5</f>
        <v/>
      </c>
      <c r="D48" s="17">
        <f>SUMPRODUCT(((Entradas!$B$12:$B$14+Entradas!$D$12:$D$14+12)=$A48)*Entradas!$C$12:$C$14)*0.1</f>
        <v/>
      </c>
      <c r="E48" s="17">
        <f>SUM(B48:D48)</f>
        <v/>
      </c>
      <c r="F48" s="17">
        <f>SUMPRODUCT(((Entradas!$B$12:$B$14-Entradas!$B$6)=$A48)*Entradas!$E$12:$E$14)*Entradas!$B$4</f>
        <v/>
      </c>
      <c r="G48" s="17">
        <f>SUMPRODUCT((Entradas!$B$12:$B$14=$A48)*Entradas!$E$12:$E$14)*Entradas!$B$5</f>
        <v/>
      </c>
      <c r="H48" s="17">
        <f>SUMPRODUCT((Entradas!$B$12:$B$14&lt;=$A48)*((Entradas!$B$12:$B$14+Entradas!$D$12:$D$14)&gt;$A48)*(Entradas!$F$12:$F$14/(Entradas!$D$12:$D$14+(Entradas!$D$12:$D$14=0))))</f>
        <v/>
      </c>
      <c r="I48" s="17">
        <f>Entradas!$B$3*0.06*Entradas!$B$7/12</f>
        <v/>
      </c>
      <c r="J48" s="17">
        <f>IF(M47&lt;0,-M47*Entradas!$B$8/12,0)</f>
        <v/>
      </c>
      <c r="K48" s="17">
        <f>SUM(F48:J48)</f>
        <v/>
      </c>
      <c r="L48" s="17">
        <f>E48-K48</f>
        <v/>
      </c>
      <c r="M48" s="17">
        <f>M47+L48</f>
        <v/>
      </c>
    </row>
    <row r="49">
      <c r="A49" s="9" t="n">
        <v>45</v>
      </c>
      <c r="B49" s="17">
        <f>SUMPRODUCT((Entradas!$B$12:$B$14=$A49)*Entradas!$C$12:$C$14)*0.4</f>
        <v/>
      </c>
      <c r="C49" s="17">
        <f>SUMPRODUCT(((Entradas!$B$12:$B$14+Entradas!$D$12:$D$14)=$A49)*Entradas!$C$12:$C$14)*0.5</f>
        <v/>
      </c>
      <c r="D49" s="17">
        <f>SUMPRODUCT(((Entradas!$B$12:$B$14+Entradas!$D$12:$D$14+12)=$A49)*Entradas!$C$12:$C$14)*0.1</f>
        <v/>
      </c>
      <c r="E49" s="17">
        <f>SUM(B49:D49)</f>
        <v/>
      </c>
      <c r="F49" s="17">
        <f>SUMPRODUCT(((Entradas!$B$12:$B$14-Entradas!$B$6)=$A49)*Entradas!$E$12:$E$14)*Entradas!$B$4</f>
        <v/>
      </c>
      <c r="G49" s="17">
        <f>SUMPRODUCT((Entradas!$B$12:$B$14=$A49)*Entradas!$E$12:$E$14)*Entradas!$B$5</f>
        <v/>
      </c>
      <c r="H49" s="17">
        <f>SUMPRODUCT((Entradas!$B$12:$B$14&lt;=$A49)*((Entradas!$B$12:$B$14+Entradas!$D$12:$D$14)&gt;$A49)*(Entradas!$F$12:$F$14/(Entradas!$D$12:$D$14+(Entradas!$D$12:$D$14=0))))</f>
        <v/>
      </c>
      <c r="I49" s="17">
        <f>Entradas!$B$3*0.06*Entradas!$B$7/12</f>
        <v/>
      </c>
      <c r="J49" s="17">
        <f>IF(M48&lt;0,-M48*Entradas!$B$8/12,0)</f>
        <v/>
      </c>
      <c r="K49" s="17">
        <f>SUM(F49:J49)</f>
        <v/>
      </c>
      <c r="L49" s="17">
        <f>E49-K49</f>
        <v/>
      </c>
      <c r="M49" s="17">
        <f>M48+L49</f>
        <v/>
      </c>
    </row>
    <row r="50">
      <c r="A50" s="9" t="n">
        <v>46</v>
      </c>
      <c r="B50" s="17">
        <f>SUMPRODUCT((Entradas!$B$12:$B$14=$A50)*Entradas!$C$12:$C$14)*0.4</f>
        <v/>
      </c>
      <c r="C50" s="17">
        <f>SUMPRODUCT(((Entradas!$B$12:$B$14+Entradas!$D$12:$D$14)=$A50)*Entradas!$C$12:$C$14)*0.5</f>
        <v/>
      </c>
      <c r="D50" s="17">
        <f>SUMPRODUCT(((Entradas!$B$12:$B$14+Entradas!$D$12:$D$14+12)=$A50)*Entradas!$C$12:$C$14)*0.1</f>
        <v/>
      </c>
      <c r="E50" s="17">
        <f>SUM(B50:D50)</f>
        <v/>
      </c>
      <c r="F50" s="17">
        <f>SUMPRODUCT(((Entradas!$B$12:$B$14-Entradas!$B$6)=$A50)*Entradas!$E$12:$E$14)*Entradas!$B$4</f>
        <v/>
      </c>
      <c r="G50" s="17">
        <f>SUMPRODUCT((Entradas!$B$12:$B$14=$A50)*Entradas!$E$12:$E$14)*Entradas!$B$5</f>
        <v/>
      </c>
      <c r="H50" s="17">
        <f>SUMPRODUCT((Entradas!$B$12:$B$14&lt;=$A50)*((Entradas!$B$12:$B$14+Entradas!$D$12:$D$14)&gt;$A50)*(Entradas!$F$12:$F$14/(Entradas!$D$12:$D$14+(Entradas!$D$12:$D$14=0))))</f>
        <v/>
      </c>
      <c r="I50" s="17">
        <f>Entradas!$B$3*0.06*Entradas!$B$7/12</f>
        <v/>
      </c>
      <c r="J50" s="17">
        <f>IF(M49&lt;0,-M49*Entradas!$B$8/12,0)</f>
        <v/>
      </c>
      <c r="K50" s="17">
        <f>SUM(F50:J50)</f>
        <v/>
      </c>
      <c r="L50" s="17">
        <f>E50-K50</f>
        <v/>
      </c>
      <c r="M50" s="17">
        <f>M49+L50</f>
        <v/>
      </c>
    </row>
    <row r="51">
      <c r="A51" s="9" t="n">
        <v>47</v>
      </c>
      <c r="B51" s="17">
        <f>SUMPRODUCT((Entradas!$B$12:$B$14=$A51)*Entradas!$C$12:$C$14)*0.4</f>
        <v/>
      </c>
      <c r="C51" s="17">
        <f>SUMPRODUCT(((Entradas!$B$12:$B$14+Entradas!$D$12:$D$14)=$A51)*Entradas!$C$12:$C$14)*0.5</f>
        <v/>
      </c>
      <c r="D51" s="17">
        <f>SUMPRODUCT(((Entradas!$B$12:$B$14+Entradas!$D$12:$D$14+12)=$A51)*Entradas!$C$12:$C$14)*0.1</f>
        <v/>
      </c>
      <c r="E51" s="17">
        <f>SUM(B51:D51)</f>
        <v/>
      </c>
      <c r="F51" s="17">
        <f>SUMPRODUCT(((Entradas!$B$12:$B$14-Entradas!$B$6)=$A51)*Entradas!$E$12:$E$14)*Entradas!$B$4</f>
        <v/>
      </c>
      <c r="G51" s="17">
        <f>SUMPRODUCT((Entradas!$B$12:$B$14=$A51)*Entradas!$E$12:$E$14)*Entradas!$B$5</f>
        <v/>
      </c>
      <c r="H51" s="17">
        <f>SUMPRODUCT((Entradas!$B$12:$B$14&lt;=$A51)*((Entradas!$B$12:$B$14+Entradas!$D$12:$D$14)&gt;$A51)*(Entradas!$F$12:$F$14/(Entradas!$D$12:$D$14+(Entradas!$D$12:$D$14=0))))</f>
        <v/>
      </c>
      <c r="I51" s="17">
        <f>Entradas!$B$3*0.06*Entradas!$B$7/12</f>
        <v/>
      </c>
      <c r="J51" s="17">
        <f>IF(M50&lt;0,-M50*Entradas!$B$8/12,0)</f>
        <v/>
      </c>
      <c r="K51" s="17">
        <f>SUM(F51:J51)</f>
        <v/>
      </c>
      <c r="L51" s="17">
        <f>E51-K51</f>
        <v/>
      </c>
      <c r="M51" s="17">
        <f>M50+L51</f>
        <v/>
      </c>
    </row>
    <row r="52">
      <c r="A52" s="9" t="n">
        <v>48</v>
      </c>
      <c r="B52" s="17">
        <f>SUMPRODUCT((Entradas!$B$12:$B$14=$A52)*Entradas!$C$12:$C$14)*0.4</f>
        <v/>
      </c>
      <c r="C52" s="17">
        <f>SUMPRODUCT(((Entradas!$B$12:$B$14+Entradas!$D$12:$D$14)=$A52)*Entradas!$C$12:$C$14)*0.5</f>
        <v/>
      </c>
      <c r="D52" s="17">
        <f>SUMPRODUCT(((Entradas!$B$12:$B$14+Entradas!$D$12:$D$14+12)=$A52)*Entradas!$C$12:$C$14)*0.1</f>
        <v/>
      </c>
      <c r="E52" s="17">
        <f>SUM(B52:D52)</f>
        <v/>
      </c>
      <c r="F52" s="17">
        <f>SUMPRODUCT(((Entradas!$B$12:$B$14-Entradas!$B$6)=$A52)*Entradas!$E$12:$E$14)*Entradas!$B$4</f>
        <v/>
      </c>
      <c r="G52" s="17">
        <f>SUMPRODUCT((Entradas!$B$12:$B$14=$A52)*Entradas!$E$12:$E$14)*Entradas!$B$5</f>
        <v/>
      </c>
      <c r="H52" s="17">
        <f>SUMPRODUCT((Entradas!$B$12:$B$14&lt;=$A52)*((Entradas!$B$12:$B$14+Entradas!$D$12:$D$14)&gt;$A52)*(Entradas!$F$12:$F$14/(Entradas!$D$12:$D$14+(Entradas!$D$12:$D$14=0))))</f>
        <v/>
      </c>
      <c r="I52" s="17">
        <f>Entradas!$B$3*0.06*Entradas!$B$7/12</f>
        <v/>
      </c>
      <c r="J52" s="17">
        <f>IF(M51&lt;0,-M51*Entradas!$B$8/12,0)</f>
        <v/>
      </c>
      <c r="K52" s="17">
        <f>SUM(F52:J52)</f>
        <v/>
      </c>
      <c r="L52" s="17">
        <f>E52-K52</f>
        <v/>
      </c>
      <c r="M52" s="17">
        <f>M51+L52</f>
        <v/>
      </c>
    </row>
    <row r="53">
      <c r="A53" s="9" t="n">
        <v>49</v>
      </c>
      <c r="B53" s="17">
        <f>SUMPRODUCT((Entradas!$B$12:$B$14=$A53)*Entradas!$C$12:$C$14)*0.4</f>
        <v/>
      </c>
      <c r="C53" s="17">
        <f>SUMPRODUCT(((Entradas!$B$12:$B$14+Entradas!$D$12:$D$14)=$A53)*Entradas!$C$12:$C$14)*0.5</f>
        <v/>
      </c>
      <c r="D53" s="17">
        <f>SUMPRODUCT(((Entradas!$B$12:$B$14+Entradas!$D$12:$D$14+12)=$A53)*Entradas!$C$12:$C$14)*0.1</f>
        <v/>
      </c>
      <c r="E53" s="17">
        <f>SUM(B53:D53)</f>
        <v/>
      </c>
      <c r="F53" s="17">
        <f>SUMPRODUCT(((Entradas!$B$12:$B$14-Entradas!$B$6)=$A53)*Entradas!$E$12:$E$14)*Entradas!$B$4</f>
        <v/>
      </c>
      <c r="G53" s="17">
        <f>SUMPRODUCT((Entradas!$B$12:$B$14=$A53)*Entradas!$E$12:$E$14)*Entradas!$B$5</f>
        <v/>
      </c>
      <c r="H53" s="17">
        <f>SUMPRODUCT((Entradas!$B$12:$B$14&lt;=$A53)*((Entradas!$B$12:$B$14+Entradas!$D$12:$D$14)&gt;$A53)*(Entradas!$F$12:$F$14/(Entradas!$D$12:$D$14+(Entradas!$D$12:$D$14=0))))</f>
        <v/>
      </c>
      <c r="I53" s="17">
        <f>Entradas!$B$3*0.06*Entradas!$B$7/12</f>
        <v/>
      </c>
      <c r="J53" s="17">
        <f>IF(M52&lt;0,-M52*Entradas!$B$8/12,0)</f>
        <v/>
      </c>
      <c r="K53" s="17">
        <f>SUM(F53:J53)</f>
        <v/>
      </c>
      <c r="L53" s="17">
        <f>E53-K53</f>
        <v/>
      </c>
      <c r="M53" s="17">
        <f>M52+L53</f>
        <v/>
      </c>
    </row>
    <row r="54">
      <c r="A54" s="9" t="n">
        <v>50</v>
      </c>
      <c r="B54" s="17">
        <f>SUMPRODUCT((Entradas!$B$12:$B$14=$A54)*Entradas!$C$12:$C$14)*0.4</f>
        <v/>
      </c>
      <c r="C54" s="17">
        <f>SUMPRODUCT(((Entradas!$B$12:$B$14+Entradas!$D$12:$D$14)=$A54)*Entradas!$C$12:$C$14)*0.5</f>
        <v/>
      </c>
      <c r="D54" s="17">
        <f>SUMPRODUCT(((Entradas!$B$12:$B$14+Entradas!$D$12:$D$14+12)=$A54)*Entradas!$C$12:$C$14)*0.1</f>
        <v/>
      </c>
      <c r="E54" s="17">
        <f>SUM(B54:D54)</f>
        <v/>
      </c>
      <c r="F54" s="17">
        <f>SUMPRODUCT(((Entradas!$B$12:$B$14-Entradas!$B$6)=$A54)*Entradas!$E$12:$E$14)*Entradas!$B$4</f>
        <v/>
      </c>
      <c r="G54" s="17">
        <f>SUMPRODUCT((Entradas!$B$12:$B$14=$A54)*Entradas!$E$12:$E$14)*Entradas!$B$5</f>
        <v/>
      </c>
      <c r="H54" s="17">
        <f>SUMPRODUCT((Entradas!$B$12:$B$14&lt;=$A54)*((Entradas!$B$12:$B$14+Entradas!$D$12:$D$14)&gt;$A54)*(Entradas!$F$12:$F$14/(Entradas!$D$12:$D$14+(Entradas!$D$12:$D$14=0))))</f>
        <v/>
      </c>
      <c r="I54" s="17">
        <f>Entradas!$B$3*0.06*Entradas!$B$7/12</f>
        <v/>
      </c>
      <c r="J54" s="17">
        <f>IF(M53&lt;0,-M53*Entradas!$B$8/12,0)</f>
        <v/>
      </c>
      <c r="K54" s="17">
        <f>SUM(F54:J54)</f>
        <v/>
      </c>
      <c r="L54" s="17">
        <f>E54-K54</f>
        <v/>
      </c>
      <c r="M54" s="17">
        <f>M53+L54</f>
        <v/>
      </c>
    </row>
    <row r="55">
      <c r="A55" s="9" t="n">
        <v>51</v>
      </c>
      <c r="B55" s="17">
        <f>SUMPRODUCT((Entradas!$B$12:$B$14=$A55)*Entradas!$C$12:$C$14)*0.4</f>
        <v/>
      </c>
      <c r="C55" s="17">
        <f>SUMPRODUCT(((Entradas!$B$12:$B$14+Entradas!$D$12:$D$14)=$A55)*Entradas!$C$12:$C$14)*0.5</f>
        <v/>
      </c>
      <c r="D55" s="17">
        <f>SUMPRODUCT(((Entradas!$B$12:$B$14+Entradas!$D$12:$D$14+12)=$A55)*Entradas!$C$12:$C$14)*0.1</f>
        <v/>
      </c>
      <c r="E55" s="17">
        <f>SUM(B55:D55)</f>
        <v/>
      </c>
      <c r="F55" s="17">
        <f>SUMPRODUCT(((Entradas!$B$12:$B$14-Entradas!$B$6)=$A55)*Entradas!$E$12:$E$14)*Entradas!$B$4</f>
        <v/>
      </c>
      <c r="G55" s="17">
        <f>SUMPRODUCT((Entradas!$B$12:$B$14=$A55)*Entradas!$E$12:$E$14)*Entradas!$B$5</f>
        <v/>
      </c>
      <c r="H55" s="17">
        <f>SUMPRODUCT((Entradas!$B$12:$B$14&lt;=$A55)*((Entradas!$B$12:$B$14+Entradas!$D$12:$D$14)&gt;$A55)*(Entradas!$F$12:$F$14/(Entradas!$D$12:$D$14+(Entradas!$D$12:$D$14=0))))</f>
        <v/>
      </c>
      <c r="I55" s="17">
        <f>Entradas!$B$3*0.06*Entradas!$B$7/12</f>
        <v/>
      </c>
      <c r="J55" s="17">
        <f>IF(M54&lt;0,-M54*Entradas!$B$8/12,0)</f>
        <v/>
      </c>
      <c r="K55" s="17">
        <f>SUM(F55:J55)</f>
        <v/>
      </c>
      <c r="L55" s="17">
        <f>E55-K55</f>
        <v/>
      </c>
      <c r="M55" s="17">
        <f>M54+L55</f>
        <v/>
      </c>
    </row>
    <row r="56">
      <c r="A56" s="9" t="n">
        <v>52</v>
      </c>
      <c r="B56" s="17">
        <f>SUMPRODUCT((Entradas!$B$12:$B$14=$A56)*Entradas!$C$12:$C$14)*0.4</f>
        <v/>
      </c>
      <c r="C56" s="17">
        <f>SUMPRODUCT(((Entradas!$B$12:$B$14+Entradas!$D$12:$D$14)=$A56)*Entradas!$C$12:$C$14)*0.5</f>
        <v/>
      </c>
      <c r="D56" s="17">
        <f>SUMPRODUCT(((Entradas!$B$12:$B$14+Entradas!$D$12:$D$14+12)=$A56)*Entradas!$C$12:$C$14)*0.1</f>
        <v/>
      </c>
      <c r="E56" s="17">
        <f>SUM(B56:D56)</f>
        <v/>
      </c>
      <c r="F56" s="17">
        <f>SUMPRODUCT(((Entradas!$B$12:$B$14-Entradas!$B$6)=$A56)*Entradas!$E$12:$E$14)*Entradas!$B$4</f>
        <v/>
      </c>
      <c r="G56" s="17">
        <f>SUMPRODUCT((Entradas!$B$12:$B$14=$A56)*Entradas!$E$12:$E$14)*Entradas!$B$5</f>
        <v/>
      </c>
      <c r="H56" s="17">
        <f>SUMPRODUCT((Entradas!$B$12:$B$14&lt;=$A56)*((Entradas!$B$12:$B$14+Entradas!$D$12:$D$14)&gt;$A56)*(Entradas!$F$12:$F$14/(Entradas!$D$12:$D$14+(Entradas!$D$12:$D$14=0))))</f>
        <v/>
      </c>
      <c r="I56" s="17">
        <f>Entradas!$B$3*0.06*Entradas!$B$7/12</f>
        <v/>
      </c>
      <c r="J56" s="17">
        <f>IF(M55&lt;0,-M55*Entradas!$B$8/12,0)</f>
        <v/>
      </c>
      <c r="K56" s="17">
        <f>SUM(F56:J56)</f>
        <v/>
      </c>
      <c r="L56" s="17">
        <f>E56-K56</f>
        <v/>
      </c>
      <c r="M56" s="17">
        <f>M55+L56</f>
        <v/>
      </c>
    </row>
    <row r="57">
      <c r="A57" s="9" t="n">
        <v>53</v>
      </c>
      <c r="B57" s="17">
        <f>SUMPRODUCT((Entradas!$B$12:$B$14=$A57)*Entradas!$C$12:$C$14)*0.4</f>
        <v/>
      </c>
      <c r="C57" s="17">
        <f>SUMPRODUCT(((Entradas!$B$12:$B$14+Entradas!$D$12:$D$14)=$A57)*Entradas!$C$12:$C$14)*0.5</f>
        <v/>
      </c>
      <c r="D57" s="17">
        <f>SUMPRODUCT(((Entradas!$B$12:$B$14+Entradas!$D$12:$D$14+12)=$A57)*Entradas!$C$12:$C$14)*0.1</f>
        <v/>
      </c>
      <c r="E57" s="17">
        <f>SUM(B57:D57)</f>
        <v/>
      </c>
      <c r="F57" s="17">
        <f>SUMPRODUCT(((Entradas!$B$12:$B$14-Entradas!$B$6)=$A57)*Entradas!$E$12:$E$14)*Entradas!$B$4</f>
        <v/>
      </c>
      <c r="G57" s="17">
        <f>SUMPRODUCT((Entradas!$B$12:$B$14=$A57)*Entradas!$E$12:$E$14)*Entradas!$B$5</f>
        <v/>
      </c>
      <c r="H57" s="17">
        <f>SUMPRODUCT((Entradas!$B$12:$B$14&lt;=$A57)*((Entradas!$B$12:$B$14+Entradas!$D$12:$D$14)&gt;$A57)*(Entradas!$F$12:$F$14/(Entradas!$D$12:$D$14+(Entradas!$D$12:$D$14=0))))</f>
        <v/>
      </c>
      <c r="I57" s="17">
        <f>Entradas!$B$3*0.06*Entradas!$B$7/12</f>
        <v/>
      </c>
      <c r="J57" s="17">
        <f>IF(M56&lt;0,-M56*Entradas!$B$8/12,0)</f>
        <v/>
      </c>
      <c r="K57" s="17">
        <f>SUM(F57:J57)</f>
        <v/>
      </c>
      <c r="L57" s="17">
        <f>E57-K57</f>
        <v/>
      </c>
      <c r="M57" s="17">
        <f>M56+L57</f>
        <v/>
      </c>
    </row>
    <row r="58">
      <c r="A58" s="9" t="n">
        <v>54</v>
      </c>
      <c r="B58" s="17">
        <f>SUMPRODUCT((Entradas!$B$12:$B$14=$A58)*Entradas!$C$12:$C$14)*0.4</f>
        <v/>
      </c>
      <c r="C58" s="17">
        <f>SUMPRODUCT(((Entradas!$B$12:$B$14+Entradas!$D$12:$D$14)=$A58)*Entradas!$C$12:$C$14)*0.5</f>
        <v/>
      </c>
      <c r="D58" s="17">
        <f>SUMPRODUCT(((Entradas!$B$12:$B$14+Entradas!$D$12:$D$14+12)=$A58)*Entradas!$C$12:$C$14)*0.1</f>
        <v/>
      </c>
      <c r="E58" s="17">
        <f>SUM(B58:D58)</f>
        <v/>
      </c>
      <c r="F58" s="17">
        <f>SUMPRODUCT(((Entradas!$B$12:$B$14-Entradas!$B$6)=$A58)*Entradas!$E$12:$E$14)*Entradas!$B$4</f>
        <v/>
      </c>
      <c r="G58" s="17">
        <f>SUMPRODUCT((Entradas!$B$12:$B$14=$A58)*Entradas!$E$12:$E$14)*Entradas!$B$5</f>
        <v/>
      </c>
      <c r="H58" s="17">
        <f>SUMPRODUCT((Entradas!$B$12:$B$14&lt;=$A58)*((Entradas!$B$12:$B$14+Entradas!$D$12:$D$14)&gt;$A58)*(Entradas!$F$12:$F$14/(Entradas!$D$12:$D$14+(Entradas!$D$12:$D$14=0))))</f>
        <v/>
      </c>
      <c r="I58" s="17">
        <f>Entradas!$B$3*0.06*Entradas!$B$7/12</f>
        <v/>
      </c>
      <c r="J58" s="17">
        <f>IF(M57&lt;0,-M57*Entradas!$B$8/12,0)</f>
        <v/>
      </c>
      <c r="K58" s="17">
        <f>SUM(F58:J58)</f>
        <v/>
      </c>
      <c r="L58" s="17">
        <f>E58-K58</f>
        <v/>
      </c>
      <c r="M58" s="17">
        <f>M57+L58</f>
        <v/>
      </c>
    </row>
    <row r="59">
      <c r="A59" s="9" t="n">
        <v>55</v>
      </c>
      <c r="B59" s="17">
        <f>SUMPRODUCT((Entradas!$B$12:$B$14=$A59)*Entradas!$C$12:$C$14)*0.4</f>
        <v/>
      </c>
      <c r="C59" s="17">
        <f>SUMPRODUCT(((Entradas!$B$12:$B$14+Entradas!$D$12:$D$14)=$A59)*Entradas!$C$12:$C$14)*0.5</f>
        <v/>
      </c>
      <c r="D59" s="17">
        <f>SUMPRODUCT(((Entradas!$B$12:$B$14+Entradas!$D$12:$D$14+12)=$A59)*Entradas!$C$12:$C$14)*0.1</f>
        <v/>
      </c>
      <c r="E59" s="17">
        <f>SUM(B59:D59)</f>
        <v/>
      </c>
      <c r="F59" s="17">
        <f>SUMPRODUCT(((Entradas!$B$12:$B$14-Entradas!$B$6)=$A59)*Entradas!$E$12:$E$14)*Entradas!$B$4</f>
        <v/>
      </c>
      <c r="G59" s="17">
        <f>SUMPRODUCT((Entradas!$B$12:$B$14=$A59)*Entradas!$E$12:$E$14)*Entradas!$B$5</f>
        <v/>
      </c>
      <c r="H59" s="17">
        <f>SUMPRODUCT((Entradas!$B$12:$B$14&lt;=$A59)*((Entradas!$B$12:$B$14+Entradas!$D$12:$D$14)&gt;$A59)*(Entradas!$F$12:$F$14/(Entradas!$D$12:$D$14+(Entradas!$D$12:$D$14=0))))</f>
        <v/>
      </c>
      <c r="I59" s="17">
        <f>Entradas!$B$3*0.06*Entradas!$B$7/12</f>
        <v/>
      </c>
      <c r="J59" s="17">
        <f>IF(M58&lt;0,-M58*Entradas!$B$8/12,0)</f>
        <v/>
      </c>
      <c r="K59" s="17">
        <f>SUM(F59:J59)</f>
        <v/>
      </c>
      <c r="L59" s="17">
        <f>E59-K59</f>
        <v/>
      </c>
      <c r="M59" s="17">
        <f>M58+L59</f>
        <v/>
      </c>
    </row>
    <row r="60">
      <c r="A60" s="9" t="n">
        <v>56</v>
      </c>
      <c r="B60" s="17">
        <f>SUMPRODUCT((Entradas!$B$12:$B$14=$A60)*Entradas!$C$12:$C$14)*0.4</f>
        <v/>
      </c>
      <c r="C60" s="17">
        <f>SUMPRODUCT(((Entradas!$B$12:$B$14+Entradas!$D$12:$D$14)=$A60)*Entradas!$C$12:$C$14)*0.5</f>
        <v/>
      </c>
      <c r="D60" s="17">
        <f>SUMPRODUCT(((Entradas!$B$12:$B$14+Entradas!$D$12:$D$14+12)=$A60)*Entradas!$C$12:$C$14)*0.1</f>
        <v/>
      </c>
      <c r="E60" s="17">
        <f>SUM(B60:D60)</f>
        <v/>
      </c>
      <c r="F60" s="17">
        <f>SUMPRODUCT(((Entradas!$B$12:$B$14-Entradas!$B$6)=$A60)*Entradas!$E$12:$E$14)*Entradas!$B$4</f>
        <v/>
      </c>
      <c r="G60" s="17">
        <f>SUMPRODUCT((Entradas!$B$12:$B$14=$A60)*Entradas!$E$12:$E$14)*Entradas!$B$5</f>
        <v/>
      </c>
      <c r="H60" s="17">
        <f>SUMPRODUCT((Entradas!$B$12:$B$14&lt;=$A60)*((Entradas!$B$12:$B$14+Entradas!$D$12:$D$14)&gt;$A60)*(Entradas!$F$12:$F$14/(Entradas!$D$12:$D$14+(Entradas!$D$12:$D$14=0))))</f>
        <v/>
      </c>
      <c r="I60" s="17">
        <f>Entradas!$B$3*0.06*Entradas!$B$7/12</f>
        <v/>
      </c>
      <c r="J60" s="17">
        <f>IF(M59&lt;0,-M59*Entradas!$B$8/12,0)</f>
        <v/>
      </c>
      <c r="K60" s="17">
        <f>SUM(F60:J60)</f>
        <v/>
      </c>
      <c r="L60" s="17">
        <f>E60-K60</f>
        <v/>
      </c>
      <c r="M60" s="17">
        <f>M59+L60</f>
        <v/>
      </c>
    </row>
    <row r="61">
      <c r="A61" s="9" t="n">
        <v>57</v>
      </c>
      <c r="B61" s="17">
        <f>SUMPRODUCT((Entradas!$B$12:$B$14=$A61)*Entradas!$C$12:$C$14)*0.4</f>
        <v/>
      </c>
      <c r="C61" s="17">
        <f>SUMPRODUCT(((Entradas!$B$12:$B$14+Entradas!$D$12:$D$14)=$A61)*Entradas!$C$12:$C$14)*0.5</f>
        <v/>
      </c>
      <c r="D61" s="17">
        <f>SUMPRODUCT(((Entradas!$B$12:$B$14+Entradas!$D$12:$D$14+12)=$A61)*Entradas!$C$12:$C$14)*0.1</f>
        <v/>
      </c>
      <c r="E61" s="17">
        <f>SUM(B61:D61)</f>
        <v/>
      </c>
      <c r="F61" s="17">
        <f>SUMPRODUCT(((Entradas!$B$12:$B$14-Entradas!$B$6)=$A61)*Entradas!$E$12:$E$14)*Entradas!$B$4</f>
        <v/>
      </c>
      <c r="G61" s="17">
        <f>SUMPRODUCT((Entradas!$B$12:$B$14=$A61)*Entradas!$E$12:$E$14)*Entradas!$B$5</f>
        <v/>
      </c>
      <c r="H61" s="17">
        <f>SUMPRODUCT((Entradas!$B$12:$B$14&lt;=$A61)*((Entradas!$B$12:$B$14+Entradas!$D$12:$D$14)&gt;$A61)*(Entradas!$F$12:$F$14/(Entradas!$D$12:$D$14+(Entradas!$D$12:$D$14=0))))</f>
        <v/>
      </c>
      <c r="I61" s="17">
        <f>Entradas!$B$3*0.06*Entradas!$B$7/12</f>
        <v/>
      </c>
      <c r="J61" s="17">
        <f>IF(M60&lt;0,-M60*Entradas!$B$8/12,0)</f>
        <v/>
      </c>
      <c r="K61" s="17">
        <f>SUM(F61:J61)</f>
        <v/>
      </c>
      <c r="L61" s="17">
        <f>E61-K61</f>
        <v/>
      </c>
      <c r="M61" s="17">
        <f>M60+L61</f>
        <v/>
      </c>
    </row>
    <row r="62">
      <c r="A62" s="9" t="n">
        <v>58</v>
      </c>
      <c r="B62" s="17">
        <f>SUMPRODUCT((Entradas!$B$12:$B$14=$A62)*Entradas!$C$12:$C$14)*0.4</f>
        <v/>
      </c>
      <c r="C62" s="17">
        <f>SUMPRODUCT(((Entradas!$B$12:$B$14+Entradas!$D$12:$D$14)=$A62)*Entradas!$C$12:$C$14)*0.5</f>
        <v/>
      </c>
      <c r="D62" s="17">
        <f>SUMPRODUCT(((Entradas!$B$12:$B$14+Entradas!$D$12:$D$14+12)=$A62)*Entradas!$C$12:$C$14)*0.1</f>
        <v/>
      </c>
      <c r="E62" s="17">
        <f>SUM(B62:D62)</f>
        <v/>
      </c>
      <c r="F62" s="17">
        <f>SUMPRODUCT(((Entradas!$B$12:$B$14-Entradas!$B$6)=$A62)*Entradas!$E$12:$E$14)*Entradas!$B$4</f>
        <v/>
      </c>
      <c r="G62" s="17">
        <f>SUMPRODUCT((Entradas!$B$12:$B$14=$A62)*Entradas!$E$12:$E$14)*Entradas!$B$5</f>
        <v/>
      </c>
      <c r="H62" s="17">
        <f>SUMPRODUCT((Entradas!$B$12:$B$14&lt;=$A62)*((Entradas!$B$12:$B$14+Entradas!$D$12:$D$14)&gt;$A62)*(Entradas!$F$12:$F$14/(Entradas!$D$12:$D$14+(Entradas!$D$12:$D$14=0))))</f>
        <v/>
      </c>
      <c r="I62" s="17">
        <f>Entradas!$B$3*0.06*Entradas!$B$7/12</f>
        <v/>
      </c>
      <c r="J62" s="17">
        <f>IF(M61&lt;0,-M61*Entradas!$B$8/12,0)</f>
        <v/>
      </c>
      <c r="K62" s="17">
        <f>SUM(F62:J62)</f>
        <v/>
      </c>
      <c r="L62" s="17">
        <f>E62-K62</f>
        <v/>
      </c>
      <c r="M62" s="17">
        <f>M61+L62</f>
        <v/>
      </c>
    </row>
    <row r="63">
      <c r="A63" s="9" t="n">
        <v>59</v>
      </c>
      <c r="B63" s="17">
        <f>SUMPRODUCT((Entradas!$B$12:$B$14=$A63)*Entradas!$C$12:$C$14)*0.4</f>
        <v/>
      </c>
      <c r="C63" s="17">
        <f>SUMPRODUCT(((Entradas!$B$12:$B$14+Entradas!$D$12:$D$14)=$A63)*Entradas!$C$12:$C$14)*0.5</f>
        <v/>
      </c>
      <c r="D63" s="17">
        <f>SUMPRODUCT(((Entradas!$B$12:$B$14+Entradas!$D$12:$D$14+12)=$A63)*Entradas!$C$12:$C$14)*0.1</f>
        <v/>
      </c>
      <c r="E63" s="17">
        <f>SUM(B63:D63)</f>
        <v/>
      </c>
      <c r="F63" s="17">
        <f>SUMPRODUCT(((Entradas!$B$12:$B$14-Entradas!$B$6)=$A63)*Entradas!$E$12:$E$14)*Entradas!$B$4</f>
        <v/>
      </c>
      <c r="G63" s="17">
        <f>SUMPRODUCT((Entradas!$B$12:$B$14=$A63)*Entradas!$E$12:$E$14)*Entradas!$B$5</f>
        <v/>
      </c>
      <c r="H63" s="17">
        <f>SUMPRODUCT((Entradas!$B$12:$B$14&lt;=$A63)*((Entradas!$B$12:$B$14+Entradas!$D$12:$D$14)&gt;$A63)*(Entradas!$F$12:$F$14/(Entradas!$D$12:$D$14+(Entradas!$D$12:$D$14=0))))</f>
        <v/>
      </c>
      <c r="I63" s="17">
        <f>Entradas!$B$3*0.06*Entradas!$B$7/12</f>
        <v/>
      </c>
      <c r="J63" s="17">
        <f>IF(M62&lt;0,-M62*Entradas!$B$8/12,0)</f>
        <v/>
      </c>
      <c r="K63" s="17">
        <f>SUM(F63:J63)</f>
        <v/>
      </c>
      <c r="L63" s="17">
        <f>E63-K63</f>
        <v/>
      </c>
      <c r="M63" s="17">
        <f>M62+L63</f>
        <v/>
      </c>
    </row>
    <row r="64">
      <c r="A64" s="9" t="n">
        <v>60</v>
      </c>
      <c r="B64" s="17">
        <f>SUMPRODUCT((Entradas!$B$12:$B$14=$A64)*Entradas!$C$12:$C$14)*0.4</f>
        <v/>
      </c>
      <c r="C64" s="17">
        <f>SUMPRODUCT(((Entradas!$B$12:$B$14+Entradas!$D$12:$D$14)=$A64)*Entradas!$C$12:$C$14)*0.5</f>
        <v/>
      </c>
      <c r="D64" s="17">
        <f>SUMPRODUCT(((Entradas!$B$12:$B$14+Entradas!$D$12:$D$14+12)=$A64)*Entradas!$C$12:$C$14)*0.1</f>
        <v/>
      </c>
      <c r="E64" s="17">
        <f>SUM(B64:D64)</f>
        <v/>
      </c>
      <c r="F64" s="17">
        <f>SUMPRODUCT(((Entradas!$B$12:$B$14-Entradas!$B$6)=$A64)*Entradas!$E$12:$E$14)*Entradas!$B$4</f>
        <v/>
      </c>
      <c r="G64" s="17">
        <f>SUMPRODUCT((Entradas!$B$12:$B$14=$A64)*Entradas!$E$12:$E$14)*Entradas!$B$5</f>
        <v/>
      </c>
      <c r="H64" s="17">
        <f>SUMPRODUCT((Entradas!$B$12:$B$14&lt;=$A64)*((Entradas!$B$12:$B$14+Entradas!$D$12:$D$14)&gt;$A64)*(Entradas!$F$12:$F$14/(Entradas!$D$12:$D$14+(Entradas!$D$12:$D$14=0))))</f>
        <v/>
      </c>
      <c r="I64" s="17">
        <f>Entradas!$B$3*0.06*Entradas!$B$7/12</f>
        <v/>
      </c>
      <c r="J64" s="17">
        <f>IF(M63&lt;0,-M63*Entradas!$B$8/12,0)</f>
        <v/>
      </c>
      <c r="K64" s="17">
        <f>SUM(F64:J64)</f>
        <v/>
      </c>
      <c r="L64" s="17">
        <f>E64-K64</f>
        <v/>
      </c>
      <c r="M64" s="17">
        <f>M63+L64</f>
        <v/>
      </c>
    </row>
    <row r="65">
      <c r="A65" s="9" t="n">
        <v>61</v>
      </c>
      <c r="B65" s="17">
        <f>SUMPRODUCT((Entradas!$B$12:$B$14=$A65)*Entradas!$C$12:$C$14)*0.4</f>
        <v/>
      </c>
      <c r="C65" s="17">
        <f>SUMPRODUCT(((Entradas!$B$12:$B$14+Entradas!$D$12:$D$14)=$A65)*Entradas!$C$12:$C$14)*0.5</f>
        <v/>
      </c>
      <c r="D65" s="17">
        <f>SUMPRODUCT(((Entradas!$B$12:$B$14+Entradas!$D$12:$D$14+12)=$A65)*Entradas!$C$12:$C$14)*0.1</f>
        <v/>
      </c>
      <c r="E65" s="17">
        <f>SUM(B65:D65)</f>
        <v/>
      </c>
      <c r="F65" s="17">
        <f>SUMPRODUCT(((Entradas!$B$12:$B$14-Entradas!$B$6)=$A65)*Entradas!$E$12:$E$14)*Entradas!$B$4</f>
        <v/>
      </c>
      <c r="G65" s="17">
        <f>SUMPRODUCT((Entradas!$B$12:$B$14=$A65)*Entradas!$E$12:$E$14)*Entradas!$B$5</f>
        <v/>
      </c>
      <c r="H65" s="17">
        <f>SUMPRODUCT((Entradas!$B$12:$B$14&lt;=$A65)*((Entradas!$B$12:$B$14+Entradas!$D$12:$D$14)&gt;$A65)*(Entradas!$F$12:$F$14/(Entradas!$D$12:$D$14+(Entradas!$D$12:$D$14=0))))</f>
        <v/>
      </c>
      <c r="I65" s="17">
        <f>Entradas!$B$3*0.06*Entradas!$B$7/12</f>
        <v/>
      </c>
      <c r="J65" s="17">
        <f>IF(M64&lt;0,-M64*Entradas!$B$8/12,0)</f>
        <v/>
      </c>
      <c r="K65" s="17">
        <f>SUM(F65:J65)</f>
        <v/>
      </c>
      <c r="L65" s="17">
        <f>E65-K65</f>
        <v/>
      </c>
      <c r="M65" s="17">
        <f>M64+L65</f>
        <v/>
      </c>
    </row>
    <row r="66">
      <c r="A66" s="9" t="n">
        <v>62</v>
      </c>
      <c r="B66" s="17">
        <f>SUMPRODUCT((Entradas!$B$12:$B$14=$A66)*Entradas!$C$12:$C$14)*0.4</f>
        <v/>
      </c>
      <c r="C66" s="17">
        <f>SUMPRODUCT(((Entradas!$B$12:$B$14+Entradas!$D$12:$D$14)=$A66)*Entradas!$C$12:$C$14)*0.5</f>
        <v/>
      </c>
      <c r="D66" s="17">
        <f>SUMPRODUCT(((Entradas!$B$12:$B$14+Entradas!$D$12:$D$14+12)=$A66)*Entradas!$C$12:$C$14)*0.1</f>
        <v/>
      </c>
      <c r="E66" s="17">
        <f>SUM(B66:D66)</f>
        <v/>
      </c>
      <c r="F66" s="17">
        <f>SUMPRODUCT(((Entradas!$B$12:$B$14-Entradas!$B$6)=$A66)*Entradas!$E$12:$E$14)*Entradas!$B$4</f>
        <v/>
      </c>
      <c r="G66" s="17">
        <f>SUMPRODUCT((Entradas!$B$12:$B$14=$A66)*Entradas!$E$12:$E$14)*Entradas!$B$5</f>
        <v/>
      </c>
      <c r="H66" s="17">
        <f>SUMPRODUCT((Entradas!$B$12:$B$14&lt;=$A66)*((Entradas!$B$12:$B$14+Entradas!$D$12:$D$14)&gt;$A66)*(Entradas!$F$12:$F$14/(Entradas!$D$12:$D$14+(Entradas!$D$12:$D$14=0))))</f>
        <v/>
      </c>
      <c r="I66" s="17">
        <f>Entradas!$B$3*0.06*Entradas!$B$7/12</f>
        <v/>
      </c>
      <c r="J66" s="17">
        <f>IF(M65&lt;0,-M65*Entradas!$B$8/12,0)</f>
        <v/>
      </c>
      <c r="K66" s="17">
        <f>SUM(F66:J66)</f>
        <v/>
      </c>
      <c r="L66" s="17">
        <f>E66-K66</f>
        <v/>
      </c>
      <c r="M66" s="17">
        <f>M65+L66</f>
        <v/>
      </c>
    </row>
    <row r="67">
      <c r="A67" s="9" t="n">
        <v>63</v>
      </c>
      <c r="B67" s="17">
        <f>SUMPRODUCT((Entradas!$B$12:$B$14=$A67)*Entradas!$C$12:$C$14)*0.4</f>
        <v/>
      </c>
      <c r="C67" s="17">
        <f>SUMPRODUCT(((Entradas!$B$12:$B$14+Entradas!$D$12:$D$14)=$A67)*Entradas!$C$12:$C$14)*0.5</f>
        <v/>
      </c>
      <c r="D67" s="17">
        <f>SUMPRODUCT(((Entradas!$B$12:$B$14+Entradas!$D$12:$D$14+12)=$A67)*Entradas!$C$12:$C$14)*0.1</f>
        <v/>
      </c>
      <c r="E67" s="17">
        <f>SUM(B67:D67)</f>
        <v/>
      </c>
      <c r="F67" s="17">
        <f>SUMPRODUCT(((Entradas!$B$12:$B$14-Entradas!$B$6)=$A67)*Entradas!$E$12:$E$14)*Entradas!$B$4</f>
        <v/>
      </c>
      <c r="G67" s="17">
        <f>SUMPRODUCT((Entradas!$B$12:$B$14=$A67)*Entradas!$E$12:$E$14)*Entradas!$B$5</f>
        <v/>
      </c>
      <c r="H67" s="17">
        <f>SUMPRODUCT((Entradas!$B$12:$B$14&lt;=$A67)*((Entradas!$B$12:$B$14+Entradas!$D$12:$D$14)&gt;$A67)*(Entradas!$F$12:$F$14/(Entradas!$D$12:$D$14+(Entradas!$D$12:$D$14=0))))</f>
        <v/>
      </c>
      <c r="I67" s="17">
        <f>Entradas!$B$3*0.06*Entradas!$B$7/12</f>
        <v/>
      </c>
      <c r="J67" s="17">
        <f>IF(M66&lt;0,-M66*Entradas!$B$8/12,0)</f>
        <v/>
      </c>
      <c r="K67" s="17">
        <f>SUM(F67:J67)</f>
        <v/>
      </c>
      <c r="L67" s="17">
        <f>E67-K67</f>
        <v/>
      </c>
      <c r="M67" s="17">
        <f>M66+L67</f>
        <v/>
      </c>
    </row>
    <row r="68">
      <c r="A68" s="9" t="n">
        <v>64</v>
      </c>
      <c r="B68" s="17">
        <f>SUMPRODUCT((Entradas!$B$12:$B$14=$A68)*Entradas!$C$12:$C$14)*0.4</f>
        <v/>
      </c>
      <c r="C68" s="17">
        <f>SUMPRODUCT(((Entradas!$B$12:$B$14+Entradas!$D$12:$D$14)=$A68)*Entradas!$C$12:$C$14)*0.5</f>
        <v/>
      </c>
      <c r="D68" s="17">
        <f>SUMPRODUCT(((Entradas!$B$12:$B$14+Entradas!$D$12:$D$14+12)=$A68)*Entradas!$C$12:$C$14)*0.1</f>
        <v/>
      </c>
      <c r="E68" s="17">
        <f>SUM(B68:D68)</f>
        <v/>
      </c>
      <c r="F68" s="17">
        <f>SUMPRODUCT(((Entradas!$B$12:$B$14-Entradas!$B$6)=$A68)*Entradas!$E$12:$E$14)*Entradas!$B$4</f>
        <v/>
      </c>
      <c r="G68" s="17">
        <f>SUMPRODUCT((Entradas!$B$12:$B$14=$A68)*Entradas!$E$12:$E$14)*Entradas!$B$5</f>
        <v/>
      </c>
      <c r="H68" s="17">
        <f>SUMPRODUCT((Entradas!$B$12:$B$14&lt;=$A68)*((Entradas!$B$12:$B$14+Entradas!$D$12:$D$14)&gt;$A68)*(Entradas!$F$12:$F$14/(Entradas!$D$12:$D$14+(Entradas!$D$12:$D$14=0))))</f>
        <v/>
      </c>
      <c r="I68" s="17">
        <f>Entradas!$B$3*0.06*Entradas!$B$7/12</f>
        <v/>
      </c>
      <c r="J68" s="17">
        <f>IF(M67&lt;0,-M67*Entradas!$B$8/12,0)</f>
        <v/>
      </c>
      <c r="K68" s="17">
        <f>SUM(F68:J68)</f>
        <v/>
      </c>
      <c r="L68" s="17">
        <f>E68-K68</f>
        <v/>
      </c>
      <c r="M68" s="17">
        <f>M67+L68</f>
        <v/>
      </c>
    </row>
    <row r="69">
      <c r="A69" s="9" t="n">
        <v>65</v>
      </c>
      <c r="B69" s="17">
        <f>SUMPRODUCT((Entradas!$B$12:$B$14=$A69)*Entradas!$C$12:$C$14)*0.4</f>
        <v/>
      </c>
      <c r="C69" s="17">
        <f>SUMPRODUCT(((Entradas!$B$12:$B$14+Entradas!$D$12:$D$14)=$A69)*Entradas!$C$12:$C$14)*0.5</f>
        <v/>
      </c>
      <c r="D69" s="17">
        <f>SUMPRODUCT(((Entradas!$B$12:$B$14+Entradas!$D$12:$D$14+12)=$A69)*Entradas!$C$12:$C$14)*0.1</f>
        <v/>
      </c>
      <c r="E69" s="17">
        <f>SUM(B69:D69)</f>
        <v/>
      </c>
      <c r="F69" s="17">
        <f>SUMPRODUCT(((Entradas!$B$12:$B$14-Entradas!$B$6)=$A69)*Entradas!$E$12:$E$14)*Entradas!$B$4</f>
        <v/>
      </c>
      <c r="G69" s="17">
        <f>SUMPRODUCT((Entradas!$B$12:$B$14=$A69)*Entradas!$E$12:$E$14)*Entradas!$B$5</f>
        <v/>
      </c>
      <c r="H69" s="17">
        <f>SUMPRODUCT((Entradas!$B$12:$B$14&lt;=$A69)*((Entradas!$B$12:$B$14+Entradas!$D$12:$D$14)&gt;$A69)*(Entradas!$F$12:$F$14/(Entradas!$D$12:$D$14+(Entradas!$D$12:$D$14=0))))</f>
        <v/>
      </c>
      <c r="I69" s="17">
        <f>Entradas!$B$3*0.06*Entradas!$B$7/12</f>
        <v/>
      </c>
      <c r="J69" s="17">
        <f>IF(M68&lt;0,-M68*Entradas!$B$8/12,0)</f>
        <v/>
      </c>
      <c r="K69" s="17">
        <f>SUM(F69:J69)</f>
        <v/>
      </c>
      <c r="L69" s="17">
        <f>E69-K69</f>
        <v/>
      </c>
      <c r="M69" s="17">
        <f>M68+L69</f>
        <v/>
      </c>
    </row>
    <row r="70">
      <c r="A70" s="9" t="n">
        <v>66</v>
      </c>
      <c r="B70" s="17">
        <f>SUMPRODUCT((Entradas!$B$12:$B$14=$A70)*Entradas!$C$12:$C$14)*0.4</f>
        <v/>
      </c>
      <c r="C70" s="17">
        <f>SUMPRODUCT(((Entradas!$B$12:$B$14+Entradas!$D$12:$D$14)=$A70)*Entradas!$C$12:$C$14)*0.5</f>
        <v/>
      </c>
      <c r="D70" s="17">
        <f>SUMPRODUCT(((Entradas!$B$12:$B$14+Entradas!$D$12:$D$14+12)=$A70)*Entradas!$C$12:$C$14)*0.1</f>
        <v/>
      </c>
      <c r="E70" s="17">
        <f>SUM(B70:D70)</f>
        <v/>
      </c>
      <c r="F70" s="17">
        <f>SUMPRODUCT(((Entradas!$B$12:$B$14-Entradas!$B$6)=$A70)*Entradas!$E$12:$E$14)*Entradas!$B$4</f>
        <v/>
      </c>
      <c r="G70" s="17">
        <f>SUMPRODUCT((Entradas!$B$12:$B$14=$A70)*Entradas!$E$12:$E$14)*Entradas!$B$5</f>
        <v/>
      </c>
      <c r="H70" s="17">
        <f>SUMPRODUCT((Entradas!$B$12:$B$14&lt;=$A70)*((Entradas!$B$12:$B$14+Entradas!$D$12:$D$14)&gt;$A70)*(Entradas!$F$12:$F$14/(Entradas!$D$12:$D$14+(Entradas!$D$12:$D$14=0))))</f>
        <v/>
      </c>
      <c r="I70" s="17">
        <f>Entradas!$B$3*0.06*Entradas!$B$7/12</f>
        <v/>
      </c>
      <c r="J70" s="17">
        <f>IF(M69&lt;0,-M69*Entradas!$B$8/12,0)</f>
        <v/>
      </c>
      <c r="K70" s="17">
        <f>SUM(F70:J70)</f>
        <v/>
      </c>
      <c r="L70" s="17">
        <f>E70-K70</f>
        <v/>
      </c>
      <c r="M70" s="17">
        <f>M69+L70</f>
        <v/>
      </c>
    </row>
    <row r="71">
      <c r="A71" s="9" t="n">
        <v>67</v>
      </c>
      <c r="B71" s="17">
        <f>SUMPRODUCT((Entradas!$B$12:$B$14=$A71)*Entradas!$C$12:$C$14)*0.4</f>
        <v/>
      </c>
      <c r="C71" s="17">
        <f>SUMPRODUCT(((Entradas!$B$12:$B$14+Entradas!$D$12:$D$14)=$A71)*Entradas!$C$12:$C$14)*0.5</f>
        <v/>
      </c>
      <c r="D71" s="17">
        <f>SUMPRODUCT(((Entradas!$B$12:$B$14+Entradas!$D$12:$D$14+12)=$A71)*Entradas!$C$12:$C$14)*0.1</f>
        <v/>
      </c>
      <c r="E71" s="17">
        <f>SUM(B71:D71)</f>
        <v/>
      </c>
      <c r="F71" s="17">
        <f>SUMPRODUCT(((Entradas!$B$12:$B$14-Entradas!$B$6)=$A71)*Entradas!$E$12:$E$14)*Entradas!$B$4</f>
        <v/>
      </c>
      <c r="G71" s="17">
        <f>SUMPRODUCT((Entradas!$B$12:$B$14=$A71)*Entradas!$E$12:$E$14)*Entradas!$B$5</f>
        <v/>
      </c>
      <c r="H71" s="17">
        <f>SUMPRODUCT((Entradas!$B$12:$B$14&lt;=$A71)*((Entradas!$B$12:$B$14+Entradas!$D$12:$D$14)&gt;$A71)*(Entradas!$F$12:$F$14/(Entradas!$D$12:$D$14+(Entradas!$D$12:$D$14=0))))</f>
        <v/>
      </c>
      <c r="I71" s="17">
        <f>Entradas!$B$3*0.06*Entradas!$B$7/12</f>
        <v/>
      </c>
      <c r="J71" s="17">
        <f>IF(M70&lt;0,-M70*Entradas!$B$8/12,0)</f>
        <v/>
      </c>
      <c r="K71" s="17">
        <f>SUM(F71:J71)</f>
        <v/>
      </c>
      <c r="L71" s="17">
        <f>E71-K71</f>
        <v/>
      </c>
      <c r="M71" s="17">
        <f>M70+L71</f>
        <v/>
      </c>
    </row>
    <row r="72">
      <c r="A72" s="9" t="n">
        <v>68</v>
      </c>
      <c r="B72" s="17">
        <f>SUMPRODUCT((Entradas!$B$12:$B$14=$A72)*Entradas!$C$12:$C$14)*0.4</f>
        <v/>
      </c>
      <c r="C72" s="17">
        <f>SUMPRODUCT(((Entradas!$B$12:$B$14+Entradas!$D$12:$D$14)=$A72)*Entradas!$C$12:$C$14)*0.5</f>
        <v/>
      </c>
      <c r="D72" s="17">
        <f>SUMPRODUCT(((Entradas!$B$12:$B$14+Entradas!$D$12:$D$14+12)=$A72)*Entradas!$C$12:$C$14)*0.1</f>
        <v/>
      </c>
      <c r="E72" s="17">
        <f>SUM(B72:D72)</f>
        <v/>
      </c>
      <c r="F72" s="17">
        <f>SUMPRODUCT(((Entradas!$B$12:$B$14-Entradas!$B$6)=$A72)*Entradas!$E$12:$E$14)*Entradas!$B$4</f>
        <v/>
      </c>
      <c r="G72" s="17">
        <f>SUMPRODUCT((Entradas!$B$12:$B$14=$A72)*Entradas!$E$12:$E$14)*Entradas!$B$5</f>
        <v/>
      </c>
      <c r="H72" s="17">
        <f>SUMPRODUCT((Entradas!$B$12:$B$14&lt;=$A72)*((Entradas!$B$12:$B$14+Entradas!$D$12:$D$14)&gt;$A72)*(Entradas!$F$12:$F$14/(Entradas!$D$12:$D$14+(Entradas!$D$12:$D$14=0))))</f>
        <v/>
      </c>
      <c r="I72" s="17">
        <f>Entradas!$B$3*0.06*Entradas!$B$7/12</f>
        <v/>
      </c>
      <c r="J72" s="17">
        <f>IF(M71&lt;0,-M71*Entradas!$B$8/12,0)</f>
        <v/>
      </c>
      <c r="K72" s="17">
        <f>SUM(F72:J72)</f>
        <v/>
      </c>
      <c r="L72" s="17">
        <f>E72-K72</f>
        <v/>
      </c>
      <c r="M72" s="17">
        <f>M71+L72</f>
        <v/>
      </c>
    </row>
    <row r="73">
      <c r="A73" s="9" t="n">
        <v>69</v>
      </c>
      <c r="B73" s="17">
        <f>SUMPRODUCT((Entradas!$B$12:$B$14=$A73)*Entradas!$C$12:$C$14)*0.4</f>
        <v/>
      </c>
      <c r="C73" s="17">
        <f>SUMPRODUCT(((Entradas!$B$12:$B$14+Entradas!$D$12:$D$14)=$A73)*Entradas!$C$12:$C$14)*0.5</f>
        <v/>
      </c>
      <c r="D73" s="17">
        <f>SUMPRODUCT(((Entradas!$B$12:$B$14+Entradas!$D$12:$D$14+12)=$A73)*Entradas!$C$12:$C$14)*0.1</f>
        <v/>
      </c>
      <c r="E73" s="17">
        <f>SUM(B73:D73)</f>
        <v/>
      </c>
      <c r="F73" s="17">
        <f>SUMPRODUCT(((Entradas!$B$12:$B$14-Entradas!$B$6)=$A73)*Entradas!$E$12:$E$14)*Entradas!$B$4</f>
        <v/>
      </c>
      <c r="G73" s="17">
        <f>SUMPRODUCT((Entradas!$B$12:$B$14=$A73)*Entradas!$E$12:$E$14)*Entradas!$B$5</f>
        <v/>
      </c>
      <c r="H73" s="17">
        <f>SUMPRODUCT((Entradas!$B$12:$B$14&lt;=$A73)*((Entradas!$B$12:$B$14+Entradas!$D$12:$D$14)&gt;$A73)*(Entradas!$F$12:$F$14/(Entradas!$D$12:$D$14+(Entradas!$D$12:$D$14=0))))</f>
        <v/>
      </c>
      <c r="I73" s="17">
        <f>Entradas!$B$3*0.06*Entradas!$B$7/12</f>
        <v/>
      </c>
      <c r="J73" s="17">
        <f>IF(M72&lt;0,-M72*Entradas!$B$8/12,0)</f>
        <v/>
      </c>
      <c r="K73" s="17">
        <f>SUM(F73:J73)</f>
        <v/>
      </c>
      <c r="L73" s="17">
        <f>E73-K73</f>
        <v/>
      </c>
      <c r="M73" s="17">
        <f>M72+L73</f>
        <v/>
      </c>
    </row>
    <row r="74">
      <c r="A74" s="9" t="n">
        <v>70</v>
      </c>
      <c r="B74" s="17">
        <f>SUMPRODUCT((Entradas!$B$12:$B$14=$A74)*Entradas!$C$12:$C$14)*0.4</f>
        <v/>
      </c>
      <c r="C74" s="17">
        <f>SUMPRODUCT(((Entradas!$B$12:$B$14+Entradas!$D$12:$D$14)=$A74)*Entradas!$C$12:$C$14)*0.5</f>
        <v/>
      </c>
      <c r="D74" s="17">
        <f>SUMPRODUCT(((Entradas!$B$12:$B$14+Entradas!$D$12:$D$14+12)=$A74)*Entradas!$C$12:$C$14)*0.1</f>
        <v/>
      </c>
      <c r="E74" s="17">
        <f>SUM(B74:D74)</f>
        <v/>
      </c>
      <c r="F74" s="17">
        <f>SUMPRODUCT(((Entradas!$B$12:$B$14-Entradas!$B$6)=$A74)*Entradas!$E$12:$E$14)*Entradas!$B$4</f>
        <v/>
      </c>
      <c r="G74" s="17">
        <f>SUMPRODUCT((Entradas!$B$12:$B$14=$A74)*Entradas!$E$12:$E$14)*Entradas!$B$5</f>
        <v/>
      </c>
      <c r="H74" s="17">
        <f>SUMPRODUCT((Entradas!$B$12:$B$14&lt;=$A74)*((Entradas!$B$12:$B$14+Entradas!$D$12:$D$14)&gt;$A74)*(Entradas!$F$12:$F$14/(Entradas!$D$12:$D$14+(Entradas!$D$12:$D$14=0))))</f>
        <v/>
      </c>
      <c r="I74" s="17">
        <f>Entradas!$B$3*0.06*Entradas!$B$7/12</f>
        <v/>
      </c>
      <c r="J74" s="17">
        <f>IF(M73&lt;0,-M73*Entradas!$B$8/12,0)</f>
        <v/>
      </c>
      <c r="K74" s="17">
        <f>SUM(F74:J74)</f>
        <v/>
      </c>
      <c r="L74" s="17">
        <f>E74-K74</f>
        <v/>
      </c>
      <c r="M74" s="17">
        <f>M73+L74</f>
        <v/>
      </c>
    </row>
    <row r="75">
      <c r="A75" s="9" t="n">
        <v>71</v>
      </c>
      <c r="B75" s="17">
        <f>SUMPRODUCT((Entradas!$B$12:$B$14=$A75)*Entradas!$C$12:$C$14)*0.4</f>
        <v/>
      </c>
      <c r="C75" s="17">
        <f>SUMPRODUCT(((Entradas!$B$12:$B$14+Entradas!$D$12:$D$14)=$A75)*Entradas!$C$12:$C$14)*0.5</f>
        <v/>
      </c>
      <c r="D75" s="17">
        <f>SUMPRODUCT(((Entradas!$B$12:$B$14+Entradas!$D$12:$D$14+12)=$A75)*Entradas!$C$12:$C$14)*0.1</f>
        <v/>
      </c>
      <c r="E75" s="17">
        <f>SUM(B75:D75)</f>
        <v/>
      </c>
      <c r="F75" s="17">
        <f>SUMPRODUCT(((Entradas!$B$12:$B$14-Entradas!$B$6)=$A75)*Entradas!$E$12:$E$14)*Entradas!$B$4</f>
        <v/>
      </c>
      <c r="G75" s="17">
        <f>SUMPRODUCT((Entradas!$B$12:$B$14=$A75)*Entradas!$E$12:$E$14)*Entradas!$B$5</f>
        <v/>
      </c>
      <c r="H75" s="17">
        <f>SUMPRODUCT((Entradas!$B$12:$B$14&lt;=$A75)*((Entradas!$B$12:$B$14+Entradas!$D$12:$D$14)&gt;$A75)*(Entradas!$F$12:$F$14/(Entradas!$D$12:$D$14+(Entradas!$D$12:$D$14=0))))</f>
        <v/>
      </c>
      <c r="I75" s="17">
        <f>Entradas!$B$3*0.06*Entradas!$B$7/12</f>
        <v/>
      </c>
      <c r="J75" s="17">
        <f>IF(M74&lt;0,-M74*Entradas!$B$8/12,0)</f>
        <v/>
      </c>
      <c r="K75" s="17">
        <f>SUM(F75:J75)</f>
        <v/>
      </c>
      <c r="L75" s="17">
        <f>E75-K75</f>
        <v/>
      </c>
      <c r="M75" s="17">
        <f>M74+L75</f>
        <v/>
      </c>
    </row>
    <row r="76">
      <c r="A76" s="9" t="n">
        <v>72</v>
      </c>
      <c r="B76" s="17">
        <f>SUMPRODUCT((Entradas!$B$12:$B$14=$A76)*Entradas!$C$12:$C$14)*0.4</f>
        <v/>
      </c>
      <c r="C76" s="17">
        <f>SUMPRODUCT(((Entradas!$B$12:$B$14+Entradas!$D$12:$D$14)=$A76)*Entradas!$C$12:$C$14)*0.5</f>
        <v/>
      </c>
      <c r="D76" s="17">
        <f>SUMPRODUCT(((Entradas!$B$12:$B$14+Entradas!$D$12:$D$14+12)=$A76)*Entradas!$C$12:$C$14)*0.1</f>
        <v/>
      </c>
      <c r="E76" s="17">
        <f>SUM(B76:D76)</f>
        <v/>
      </c>
      <c r="F76" s="17">
        <f>SUMPRODUCT(((Entradas!$B$12:$B$14-Entradas!$B$6)=$A76)*Entradas!$E$12:$E$14)*Entradas!$B$4</f>
        <v/>
      </c>
      <c r="G76" s="17">
        <f>SUMPRODUCT((Entradas!$B$12:$B$14=$A76)*Entradas!$E$12:$E$14)*Entradas!$B$5</f>
        <v/>
      </c>
      <c r="H76" s="17">
        <f>SUMPRODUCT((Entradas!$B$12:$B$14&lt;=$A76)*((Entradas!$B$12:$B$14+Entradas!$D$12:$D$14)&gt;$A76)*(Entradas!$F$12:$F$14/(Entradas!$D$12:$D$14+(Entradas!$D$12:$D$14=0))))</f>
        <v/>
      </c>
      <c r="I76" s="17">
        <f>Entradas!$B$3*0.06*Entradas!$B$7/12</f>
        <v/>
      </c>
      <c r="J76" s="17">
        <f>IF(M75&lt;0,-M75*Entradas!$B$8/12,0)</f>
        <v/>
      </c>
      <c r="K76" s="17">
        <f>SUM(F76:J76)</f>
        <v/>
      </c>
      <c r="L76" s="17">
        <f>E76-K76</f>
        <v/>
      </c>
      <c r="M76" s="17">
        <f>M75+L76</f>
        <v/>
      </c>
    </row>
    <row r="78">
      <c r="A78" s="11" t="inlineStr">
        <is>
          <t>TOTALES / KPIs</t>
        </is>
      </c>
    </row>
    <row r="79">
      <c r="A79" s="11" t="inlineStr">
        <is>
          <t>Ingresos totales</t>
        </is>
      </c>
      <c r="B79" s="16">
        <f>SUM(E4:E76)</f>
        <v/>
      </c>
    </row>
    <row r="80">
      <c r="A80" s="11" t="inlineStr">
        <is>
          <t>Costes totales</t>
        </is>
      </c>
      <c r="B80" s="16">
        <f>SUM(K4:K76)</f>
        <v/>
      </c>
    </row>
    <row r="81">
      <c r="A81" s="11" t="inlineStr">
        <is>
          <t>Margen (beneficio)</t>
        </is>
      </c>
      <c r="B81" s="16">
        <f>B79-B80</f>
        <v/>
      </c>
    </row>
    <row r="82">
      <c r="A82" s="11" t="inlineStr">
        <is>
          <t>PICO de financiación (caja mín.)</t>
        </is>
      </c>
      <c r="B82" s="18">
        <f>MIN(M4:M76)</f>
        <v/>
      </c>
    </row>
    <row r="83">
      <c r="A83" s="11" t="inlineStr">
        <is>
          <t>Caja final</t>
        </is>
      </c>
      <c r="B83" s="16">
        <f>M76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30" customWidth="1" min="4" max="4"/>
  </cols>
  <sheetData>
    <row r="1">
      <c r="A1" s="19" t="inlineStr">
        <is>
          <t>LO RARO / BANDERAS ROJAS (solo hechos documentados)</t>
        </is>
      </c>
    </row>
    <row r="3">
      <c r="A3" s="4" t="inlineStr">
        <is>
          <t>#</t>
        </is>
      </c>
      <c r="B3" s="4" t="inlineStr">
        <is>
          <t>Hallazgo (documentado)</t>
        </is>
      </c>
      <c r="C3" s="4" t="inlineStr">
        <is>
          <t>Por qué importa</t>
        </is>
      </c>
      <c r="D3" s="4" t="inlineStr">
        <is>
          <t>Fuente</t>
        </is>
      </c>
    </row>
    <row r="4">
      <c r="A4" s="20" t="n">
        <v>1</v>
      </c>
      <c r="B4" s="21" t="inlineStr">
        <is>
          <t>Sin anticipo + cobro 40/50/10 muy diferido</t>
        </is>
      </c>
      <c r="C4" s="22" t="inlineStr">
        <is>
          <t>Pagas a tu proveedor antes de cobrar; el contrato exige financiar el circulante durante años.</t>
        </is>
      </c>
      <c r="D4" s="22" t="inlineStr">
        <is>
          <t>Contrato Art.13.1 y 12.2.3</t>
        </is>
      </c>
    </row>
    <row r="5">
      <c r="A5" s="20" t="n">
        <v>2</v>
      </c>
      <c r="B5" s="21" t="inlineStr">
        <is>
          <t>Precio fijo sin revisión durante ~5,3 años</t>
        </is>
      </c>
      <c r="C5" s="22" t="inlineStr">
        <is>
          <t>Subidas de coste/divisa no recuperables; crítico si la oferta es en liras turcas.</t>
        </is>
      </c>
      <c r="D5" s="22" t="inlineStr">
        <is>
          <t>Contrato Art.14 / Pliego Art.43</t>
        </is>
      </c>
    </row>
    <row r="6">
      <c r="A6" s="20" t="n">
        <v>3</v>
      </c>
      <c r="B6" s="21" t="inlineStr">
        <is>
          <t>No existe oferta económica de Turquía</t>
        </is>
      </c>
      <c r="C6" s="22" t="inlineStr">
        <is>
          <t>Imposible cifrar el cashflow con datos reales; solo hay plantillas de otros países.</t>
        </is>
      </c>
      <c r="D6" s="22" t="inlineStr">
        <is>
          <t>Carpeta 01_Economical_Proposals</t>
        </is>
      </c>
    </row>
    <row r="7">
      <c r="A7" s="20" t="n">
        <v>4</v>
      </c>
      <c r="B7" s="21" t="inlineStr">
        <is>
          <t>Avales 3% + 6% retenidos mucho tiempo</t>
        </is>
      </c>
      <c r="C7" s="22" t="inlineStr">
        <is>
          <t>El de cumplimiento se libera ½ tras PAC y ½ tras 2 años de garantía: línea ocupada años.</t>
        </is>
      </c>
      <c r="D7" s="22" t="inlineStr">
        <is>
          <t>Pliego Art.37 / Contrato Art.11.3</t>
        </is>
      </c>
    </row>
    <row r="8">
      <c r="A8" s="20" t="n">
        <v>5</v>
      </c>
      <c r="B8" s="21" t="inlineStr">
        <is>
          <t>Proveedor único (Indra) con certificaciones obligatorias</t>
        </is>
      </c>
      <c r="C8" s="22" t="inlineStr">
        <is>
          <t>Sin Authorised Dealer + Manufacturer's Certificate + CAT III Flight Check NO se puede licitar.</t>
        </is>
      </c>
      <c r="D8" s="22" t="inlineStr">
        <is>
          <t>RESUMEN INDRA / OBSERVACIONES</t>
        </is>
      </c>
    </row>
    <row r="9">
      <c r="A9" s="20" t="n">
        <v>6</v>
      </c>
      <c r="B9" s="21" t="inlineStr">
        <is>
          <t>Subcontratación prohibida; consorcios no admitidos</t>
        </is>
      </c>
      <c r="C9" s="22" t="inlineStr">
        <is>
          <t>El modelo comprar-e-instalar debe estructurarse como suministro o UTE.</t>
        </is>
      </c>
      <c r="D9" s="22" t="inlineStr">
        <is>
          <t>Contrato Art.15 / Pliego</t>
        </is>
      </c>
    </row>
    <row r="10">
      <c r="A10" s="20" t="n">
        <v>7</v>
      </c>
      <c r="B10" s="21" t="inlineStr">
        <is>
          <t>DPU + aduanas/importación a cargo del contratista</t>
        </is>
      </c>
      <c r="C10" s="22" t="inlineStr">
        <is>
          <t>Más capital circulante: transporte, despacho, almacenaje y permisos los adelanta GECI.</t>
        </is>
      </c>
      <c r="D10" s="22" t="inlineStr">
        <is>
          <t>Contrato Art.10.3</t>
        </is>
      </c>
    </row>
    <row r="11">
      <c r="A11" s="20" t="n">
        <v>8</v>
      </c>
      <c r="B11" s="21" t="inlineStr">
        <is>
          <t>Factibilidad interna 53% 'APTO' (borderline)</t>
        </is>
      </c>
      <c r="C11" s="22" t="inlineStr">
        <is>
          <t>La propia hoja marca financiación/adquisiciones como riesgo.</t>
        </is>
      </c>
      <c r="D11" s="22" t="inlineStr">
        <is>
          <t>F-POI-16/15</t>
        </is>
      </c>
    </row>
    <row r="12">
      <c r="A12" s="20" t="n">
        <v>9</v>
      </c>
      <c r="B12" s="21" t="inlineStr">
        <is>
          <t>Aproximaciones de valor incoherentes</t>
        </is>
      </c>
      <c r="C12" s="22" t="inlineStr">
        <is>
          <t>Experiencia 20%≈5M€ implica ~25M€, pero avales 3%≈600k/6%≈1,2M implican ~20M€. Falta fijar el valor.</t>
        </is>
      </c>
      <c r="D12" s="22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2026-06-26T08:27:23Z</dcterms:created>
  <dcterms:modified xsi:type="dcterms:W3CDTF">2026-06-26T08:27:23Z</dcterms:modified>
</cp:coreProperties>
</file>
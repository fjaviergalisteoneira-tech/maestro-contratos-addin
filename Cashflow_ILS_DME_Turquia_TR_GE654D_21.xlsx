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arámetros" sheetId="2" state="visible" r:id="rId2"/>
    <sheet name="Cashflow" sheetId="3" state="visible" r:id="rId3"/>
    <sheet name="Datos proyecto" sheetId="4" state="visible" r:id="rId4"/>
    <sheet name="Lo Rar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 €"/>
    <numFmt numFmtId="165" formatCode="0.0%"/>
    <numFmt numFmtId="166" formatCode="yyyy-mm-dd"/>
    <numFmt numFmtId="167" formatCode="dd/mm/yyyy"/>
    <numFmt numFmtId="168" formatCode="mm/yyyy"/>
  </numFmts>
  <fonts count="10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sz val="10"/>
    </font>
    <font>
      <i val="1"/>
      <color rgb="00C00000"/>
      <sz val="9"/>
    </font>
    <font>
      <b val="1"/>
    </font>
    <font>
      <b val="1"/>
      <color rgb="00C00000"/>
    </font>
    <font>
      <b val="1"/>
      <color rgb="001F4E79"/>
      <sz val="13"/>
    </font>
    <font>
      <b val="1"/>
      <color rgb="00FFFFFF"/>
    </font>
    <font>
      <b val="1"/>
      <color rgb="001F4E79"/>
    </font>
    <font>
      <b val="1"/>
      <color rgb="00C00000"/>
      <sz val="14"/>
    </font>
  </fonts>
  <fills count="9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2E75B6"/>
      </patternFill>
    </fill>
    <fill>
      <patternFill patternType="solid">
        <fgColor rgb="00C00000"/>
      </patternFill>
    </fill>
    <fill>
      <patternFill patternType="solid">
        <fgColor rgb="00FFC000"/>
      </patternFill>
    </fill>
    <fill>
      <patternFill patternType="solid">
        <fgColor rgb="0054823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5" fillId="0" borderId="0" pivotButton="0" quotePrefix="0" xfId="0"/>
    <xf numFmtId="0" fontId="6" fillId="0" borderId="0" pivotButton="0" quotePrefix="0" xfId="0"/>
    <xf numFmtId="164" fontId="4" fillId="2" borderId="0" pivotButton="0" quotePrefix="0" xfId="0"/>
    <xf numFmtId="167" fontId="4" fillId="2" borderId="0" pivotButton="0" quotePrefix="0" xfId="0"/>
    <xf numFmtId="1" fontId="4" fillId="2" borderId="0" pivotButton="0" quotePrefix="0" xfId="0"/>
    <xf numFmtId="165" fontId="4" fillId="2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168" fontId="0" fillId="0" borderId="1" pivotButton="0" quotePrefix="0" xfId="0"/>
    <xf numFmtId="164" fontId="0" fillId="0" borderId="1" pivotButton="0" quotePrefix="0" xfId="0"/>
    <xf numFmtId="164" fontId="4" fillId="4" borderId="0" pivotButton="0" quotePrefix="0" xfId="0"/>
    <xf numFmtId="0" fontId="0" fillId="0" borderId="0" applyAlignment="1" pivotButton="0" quotePrefix="0" xfId="0">
      <alignment vertical="top" wrapText="1"/>
    </xf>
    <xf numFmtId="0" fontId="8" fillId="0" borderId="0" pivotButton="0" quotePrefix="0" xfId="0"/>
    <xf numFmtId="0" fontId="7" fillId="5" borderId="0" pivotButton="0" quotePrefix="0" xfId="0"/>
    <xf numFmtId="0" fontId="9" fillId="0" borderId="0" pivotButton="0" quotePrefix="0" xfId="0"/>
    <xf numFmtId="0" fontId="0" fillId="0" borderId="1" applyAlignment="1" pivotButton="0" quotePrefix="0" xfId="0">
      <alignment horizontal="center" vertical="top"/>
    </xf>
    <xf numFmtId="0" fontId="7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7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20" customWidth="1" min="2" max="2"/>
  </cols>
  <sheetData>
    <row r="1">
      <c r="A1" s="1" t="inlineStr">
        <is>
          <t>CASHFLOW — Proyecto ILS/DME Turquía (DHMİ)</t>
        </is>
      </c>
    </row>
    <row r="2">
      <c r="A2" s="2" t="inlineStr">
        <is>
          <t>TR_GE654D_21 · Licitación 2026/760533 · 21 sistemas ILS/DME + 1 LLZ/DME</t>
        </is>
      </c>
    </row>
    <row r="3">
      <c r="A3" s="3" t="inlineStr">
        <is>
          <t>Modelo de estimación — cifras a confirmar con la oferta económica real (aún no existe modelo de Turquía)</t>
        </is>
      </c>
    </row>
    <row r="5">
      <c r="A5" s="4" t="inlineStr">
        <is>
          <t>Valor de contrato (sin IVA)</t>
        </is>
      </c>
      <c r="B5" s="5">
        <f>Parámetros!B2</f>
        <v/>
      </c>
    </row>
    <row r="6">
      <c r="A6" s="4" t="inlineStr">
        <is>
          <t>Ingresos totales</t>
        </is>
      </c>
      <c r="B6" s="5">
        <f>SUM(Cashflow!F4:F69)</f>
        <v/>
      </c>
    </row>
    <row r="7">
      <c r="A7" s="4" t="inlineStr">
        <is>
          <t>Costes totales</t>
        </is>
      </c>
      <c r="B7" s="5">
        <f>SUM(Cashflow!I4:I69)+SUM(Cashflow!J4:J69)+SUM(Cashflow!K4:K69)</f>
        <v/>
      </c>
    </row>
    <row r="8">
      <c r="A8" s="4" t="inlineStr">
        <is>
          <t>Margen bruto €</t>
        </is>
      </c>
      <c r="B8" s="5">
        <f>B6-B7</f>
        <v/>
      </c>
    </row>
    <row r="9">
      <c r="A9" s="4" t="inlineStr">
        <is>
          <t>Margen bruto %</t>
        </is>
      </c>
      <c r="B9" s="6">
        <f>B8/B6</f>
        <v/>
      </c>
    </row>
    <row r="10">
      <c r="A10" s="4" t="inlineStr">
        <is>
          <t>PICO de necesidad de financiación (caja mín.)</t>
        </is>
      </c>
      <c r="B10" s="7">
        <f>MIN(Cashflow!M4:M69)</f>
        <v/>
      </c>
    </row>
    <row r="11">
      <c r="A11" s="4" t="inlineStr">
        <is>
          <t>Caja final acumulada</t>
        </is>
      </c>
      <c r="B11" s="5">
        <f>Cashflow!M69</f>
        <v/>
      </c>
    </row>
    <row r="12">
      <c r="A12" s="4" t="inlineStr">
        <is>
          <t>Coste financiero del gap (estimado)</t>
        </is>
      </c>
      <c r="B12" s="5">
        <f>SUM(Cashflow!L4:L69)</f>
        <v/>
      </c>
    </row>
    <row r="13">
      <c r="A13" s="4" t="inlineStr">
        <is>
          <t>Avales inmovilizados (provisional + cumplimiento)</t>
        </is>
      </c>
      <c r="B13" s="5">
        <f>Parámetros!B11+Parámetros!B10</f>
        <v/>
      </c>
    </row>
    <row r="16">
      <c r="A16" s="4" t="inlineStr">
        <is>
          <t>Estructura de cobro (por contrato, Art. 12.2.3 / 7.2):</t>
        </is>
      </c>
    </row>
    <row r="17">
      <c r="A17" t="inlineStr">
        <is>
          <t>40% contra embarque · 50% tras formación + PAC · 10% tras FAC · SIN anticipo (Art. 13.1)</t>
        </is>
      </c>
    </row>
    <row r="18">
      <c r="A18" t="inlineStr">
        <is>
          <t>Entrega en máx. 3 embarques en máx. 840 días · FAC 12 meses tras PAC · garantía 2 años tras FAC · sin revisión de precios (Art. 14)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8" customWidth="1" min="2" max="2"/>
  </cols>
  <sheetData>
    <row r="1">
      <c r="A1" s="8" t="inlineStr">
        <is>
          <t>PARÁMETROS (editables)</t>
        </is>
      </c>
    </row>
    <row r="2">
      <c r="A2" t="inlineStr">
        <is>
          <t>Valor de contrato sin IVA (EUR)</t>
        </is>
      </c>
      <c r="B2" s="9" t="n">
        <v>20000000</v>
      </c>
    </row>
    <row r="3">
      <c r="A3" t="inlineStr">
        <is>
          <t>Fecha commencement (firma EKAP)</t>
        </is>
      </c>
      <c r="B3" s="10" t="n">
        <v>46388</v>
      </c>
    </row>
    <row r="4">
      <c r="A4" t="inlineStr">
        <is>
          <t>Duración (meses)</t>
        </is>
      </c>
      <c r="B4" s="11" t="n">
        <v>66</v>
      </c>
    </row>
    <row r="5">
      <c r="A5" t="inlineStr">
        <is>
          <t>% equipos (Indra/IACIT)</t>
        </is>
      </c>
      <c r="B5" s="12" t="n">
        <v>0.65</v>
      </c>
    </row>
    <row r="6">
      <c r="A6" t="inlineStr">
        <is>
          <t>% instalación+logística+aduanas</t>
        </is>
      </c>
      <c r="B6" s="12" t="n">
        <v>0.15</v>
      </c>
    </row>
    <row r="7">
      <c r="A7" t="inlineStr">
        <is>
          <t>Margen bruto objetivo</t>
        </is>
      </c>
      <c r="B7" s="12" t="n">
        <v>0.2</v>
      </c>
    </row>
    <row r="8">
      <c r="A8" t="inlineStr">
        <is>
          <t>Anticipo a proveedor al pedido</t>
        </is>
      </c>
      <c r="B8" s="12" t="n">
        <v>0.3</v>
      </c>
    </row>
    <row r="9">
      <c r="A9" t="inlineStr">
        <is>
          <t>Pago a proveedor al embarque</t>
        </is>
      </c>
      <c r="B9" s="12" t="n">
        <v>0.7</v>
      </c>
    </row>
    <row r="10">
      <c r="A10" t="inlineStr">
        <is>
          <t>Lead de pedido antes de embarque (meses)</t>
        </is>
      </c>
      <c r="B10" s="11" t="n">
        <v>6</v>
      </c>
    </row>
    <row r="11">
      <c r="A11" t="inlineStr">
        <is>
          <t>Aval de cumplimiento 6% (EUR)</t>
        </is>
      </c>
      <c r="B11" s="9" t="n">
        <v>1200000</v>
      </c>
    </row>
    <row r="12">
      <c r="A12" t="inlineStr">
        <is>
          <t>Aval provisional/bid bond 3% (EUR)</t>
        </is>
      </c>
      <c r="B12" s="9" t="n">
        <v>600000</v>
      </c>
    </row>
    <row r="13">
      <c r="A13" t="inlineStr">
        <is>
          <t>Coste anual de avales</t>
        </is>
      </c>
      <c r="B13" s="12" t="n">
        <v>0.015</v>
      </c>
    </row>
    <row r="14">
      <c r="A14" t="inlineStr">
        <is>
          <t>Coste financiero anual sobre saldo negativo</t>
        </is>
      </c>
      <c r="B14" s="12" t="n">
        <v>0.06</v>
      </c>
    </row>
    <row r="17">
      <c r="A17" s="3" t="inlineStr">
        <is>
          <t>Nota: las cifras de coste y el valor de contrato son ESTIMACIONES.</t>
        </is>
      </c>
    </row>
    <row r="18">
      <c r="A18" s="3" t="inlineStr">
        <is>
          <t>No existe todavía una oferta económica de Turquía (la carpeta 01_Economical_Proposals solo tiene plantillas de otros países).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3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2" customWidth="1" min="9" max="9"/>
    <col width="10" customWidth="1" min="10" max="10"/>
    <col width="11" customWidth="1" min="11" max="11"/>
    <col width="13" customWidth="1" min="12" max="12"/>
    <col width="13" customWidth="1" min="13" max="13"/>
    <col width="14" customWidth="1" min="14" max="14"/>
  </cols>
  <sheetData>
    <row r="1">
      <c r="A1" s="8" t="inlineStr">
        <is>
          <t>CASHFLOW MENSUAL (estimado)</t>
        </is>
      </c>
    </row>
    <row r="3">
      <c r="A3" s="13" t="inlineStr">
        <is>
          <t>Mes #</t>
        </is>
      </c>
      <c r="B3" s="13" t="inlineStr">
        <is>
          <t>Fecha</t>
        </is>
      </c>
      <c r="C3" s="13" t="inlineStr">
        <is>
          <t>Fase / Hito</t>
        </is>
      </c>
      <c r="D3" s="13" t="inlineStr">
        <is>
          <t>Cobro 40%
embarque</t>
        </is>
      </c>
      <c r="E3" s="13" t="inlineStr">
        <is>
          <t>Cobro 50%
PAC</t>
        </is>
      </c>
      <c r="F3" s="13" t="inlineStr">
        <is>
          <t>Cobro 10%
FAC</t>
        </is>
      </c>
      <c r="G3" s="13" t="inlineStr">
        <is>
          <t>INGRESOS
mes</t>
        </is>
      </c>
      <c r="H3" s="13" t="inlineStr">
        <is>
          <t>Pago equipos
(Indra)</t>
        </is>
      </c>
      <c r="I3" s="13" t="inlineStr">
        <is>
          <t>Pago
instalación</t>
        </is>
      </c>
      <c r="J3" s="13" t="inlineStr">
        <is>
          <t>Coste
avales</t>
        </is>
      </c>
      <c r="K3" s="13" t="inlineStr">
        <is>
          <t>Coste
financiero</t>
        </is>
      </c>
      <c r="L3" s="13" t="inlineStr">
        <is>
          <t>COSTES
mes</t>
        </is>
      </c>
      <c r="M3" s="13" t="inlineStr">
        <is>
          <t>NETO
mes</t>
        </is>
      </c>
      <c r="N3" s="13" t="inlineStr">
        <is>
          <t>CAJA
acumulada</t>
        </is>
      </c>
    </row>
    <row r="4">
      <c r="A4" s="14" t="n">
        <v>1</v>
      </c>
      <c r="B4" s="15" t="n">
        <v>46388</v>
      </c>
      <c r="C4" s="14" t="inlineStr">
        <is>
          <t>Firma contrato (commencement)</t>
        </is>
      </c>
      <c r="D4" s="16" t="n">
        <v>0</v>
      </c>
      <c r="E4" s="16" t="n">
        <v>0</v>
      </c>
      <c r="F4" s="16" t="n">
        <v>0</v>
      </c>
      <c r="G4" s="16">
        <f>SUM(D4:F4)</f>
        <v/>
      </c>
      <c r="H4" s="16" t="n">
        <v>0</v>
      </c>
      <c r="I4" s="16" t="n">
        <v>0</v>
      </c>
      <c r="J4" s="16">
        <f>Parámetros!$B$10*Parámetros!$B$12/12</f>
        <v/>
      </c>
      <c r="K4" s="16">
        <f>IF(0&lt;0,-0*Parámetros!$B$13/12,0)</f>
        <v/>
      </c>
      <c r="L4" s="16">
        <f>SUM(H4:K4)</f>
        <v/>
      </c>
      <c r="M4" s="16">
        <f>G4-L4</f>
        <v/>
      </c>
      <c r="N4" s="16">
        <f>M4</f>
        <v/>
      </c>
    </row>
    <row r="5">
      <c r="A5" s="14" t="n">
        <v>2</v>
      </c>
      <c r="B5" s="15" t="n">
        <v>46419</v>
      </c>
      <c r="C5" s="14" t="inlineStr"/>
      <c r="D5" s="16" t="n">
        <v>0</v>
      </c>
      <c r="E5" s="16" t="n">
        <v>0</v>
      </c>
      <c r="F5" s="16" t="n">
        <v>0</v>
      </c>
      <c r="G5" s="16">
        <f>SUM(D5:F5)</f>
        <v/>
      </c>
      <c r="H5" s="16" t="n">
        <v>1300000</v>
      </c>
      <c r="I5" s="16" t="n">
        <v>0</v>
      </c>
      <c r="J5" s="16">
        <f>Parámetros!$B$10*Parámetros!$B$12/12</f>
        <v/>
      </c>
      <c r="K5" s="16">
        <f>IF(N4&lt;0,-N4*Parámetros!$B$13/12,0)</f>
        <v/>
      </c>
      <c r="L5" s="16">
        <f>SUM(H5:K5)</f>
        <v/>
      </c>
      <c r="M5" s="16">
        <f>G5-L5</f>
        <v/>
      </c>
      <c r="N5" s="16">
        <f>N4+M5</f>
        <v/>
      </c>
    </row>
    <row r="6">
      <c r="A6" s="14" t="n">
        <v>3</v>
      </c>
      <c r="B6" s="15" t="n">
        <v>46447</v>
      </c>
      <c r="C6" s="14" t="inlineStr"/>
      <c r="D6" s="16" t="n">
        <v>0</v>
      </c>
      <c r="E6" s="16" t="n">
        <v>0</v>
      </c>
      <c r="F6" s="16" t="n">
        <v>0</v>
      </c>
      <c r="G6" s="16">
        <f>SUM(D6:F6)</f>
        <v/>
      </c>
      <c r="H6" s="16" t="n">
        <v>0</v>
      </c>
      <c r="I6" s="16" t="n">
        <v>0</v>
      </c>
      <c r="J6" s="16">
        <f>Parámetros!$B$10*Parámetros!$B$12/12</f>
        <v/>
      </c>
      <c r="K6" s="16">
        <f>IF(N5&lt;0,-N5*Parámetros!$B$13/12,0)</f>
        <v/>
      </c>
      <c r="L6" s="16">
        <f>SUM(H6:K6)</f>
        <v/>
      </c>
      <c r="M6" s="16">
        <f>G6-L6</f>
        <v/>
      </c>
      <c r="N6" s="16">
        <f>N5+M6</f>
        <v/>
      </c>
    </row>
    <row r="7">
      <c r="A7" s="14" t="n">
        <v>4</v>
      </c>
      <c r="B7" s="15" t="n">
        <v>46478</v>
      </c>
      <c r="C7" s="14" t="inlineStr"/>
      <c r="D7" s="16" t="n">
        <v>0</v>
      </c>
      <c r="E7" s="16" t="n">
        <v>0</v>
      </c>
      <c r="F7" s="16" t="n">
        <v>0</v>
      </c>
      <c r="G7" s="16">
        <f>SUM(D7:F7)</f>
        <v/>
      </c>
      <c r="H7" s="16" t="n">
        <v>0</v>
      </c>
      <c r="I7" s="16" t="n">
        <v>0</v>
      </c>
      <c r="J7" s="16">
        <f>Parámetros!$B$10*Parámetros!$B$12/12</f>
        <v/>
      </c>
      <c r="K7" s="16">
        <f>IF(N6&lt;0,-N6*Parámetros!$B$13/12,0)</f>
        <v/>
      </c>
      <c r="L7" s="16">
        <f>SUM(H7:K7)</f>
        <v/>
      </c>
      <c r="M7" s="16">
        <f>G7-L7</f>
        <v/>
      </c>
      <c r="N7" s="16">
        <f>N6+M7</f>
        <v/>
      </c>
    </row>
    <row r="8">
      <c r="A8" s="14" t="n">
        <v>5</v>
      </c>
      <c r="B8" s="15" t="n">
        <v>46508</v>
      </c>
      <c r="C8" s="14" t="inlineStr"/>
      <c r="D8" s="16" t="n">
        <v>0</v>
      </c>
      <c r="E8" s="16" t="n">
        <v>0</v>
      </c>
      <c r="F8" s="16" t="n">
        <v>0</v>
      </c>
      <c r="G8" s="16">
        <f>SUM(D8:F8)</f>
        <v/>
      </c>
      <c r="H8" s="16" t="n">
        <v>0</v>
      </c>
      <c r="I8" s="16" t="n">
        <v>0</v>
      </c>
      <c r="J8" s="16">
        <f>Parámetros!$B$10*Parámetros!$B$12/12</f>
        <v/>
      </c>
      <c r="K8" s="16">
        <f>IF(N7&lt;0,-N7*Parámetros!$B$13/12,0)</f>
        <v/>
      </c>
      <c r="L8" s="16">
        <f>SUM(H8:K8)</f>
        <v/>
      </c>
      <c r="M8" s="16">
        <f>G8-L8</f>
        <v/>
      </c>
      <c r="N8" s="16">
        <f>N7+M8</f>
        <v/>
      </c>
    </row>
    <row r="9">
      <c r="A9" s="14" t="n">
        <v>6</v>
      </c>
      <c r="B9" s="15" t="n">
        <v>46539</v>
      </c>
      <c r="C9" s="14" t="inlineStr"/>
      <c r="D9" s="16" t="n">
        <v>0</v>
      </c>
      <c r="E9" s="16" t="n">
        <v>0</v>
      </c>
      <c r="F9" s="16" t="n">
        <v>0</v>
      </c>
      <c r="G9" s="16">
        <f>SUM(D9:F9)</f>
        <v/>
      </c>
      <c r="H9" s="16" t="n">
        <v>0</v>
      </c>
      <c r="I9" s="16" t="n">
        <v>0</v>
      </c>
      <c r="J9" s="16">
        <f>Parámetros!$B$10*Parámetros!$B$12/12</f>
        <v/>
      </c>
      <c r="K9" s="16">
        <f>IF(N8&lt;0,-N8*Parámetros!$B$13/12,0)</f>
        <v/>
      </c>
      <c r="L9" s="16">
        <f>SUM(H9:K9)</f>
        <v/>
      </c>
      <c r="M9" s="16">
        <f>G9-L9</f>
        <v/>
      </c>
      <c r="N9" s="16">
        <f>N8+M9</f>
        <v/>
      </c>
    </row>
    <row r="10">
      <c r="A10" s="14" t="n">
        <v>7</v>
      </c>
      <c r="B10" s="15" t="n">
        <v>46569</v>
      </c>
      <c r="C10" s="14" t="inlineStr"/>
      <c r="D10" s="16" t="n">
        <v>0</v>
      </c>
      <c r="E10" s="16" t="n">
        <v>0</v>
      </c>
      <c r="F10" s="16" t="n">
        <v>0</v>
      </c>
      <c r="G10" s="16">
        <f>SUM(D10:F10)</f>
        <v/>
      </c>
      <c r="H10" s="16" t="n">
        <v>0</v>
      </c>
      <c r="I10" s="16" t="n">
        <v>0</v>
      </c>
      <c r="J10" s="16">
        <f>Parámetros!$B$10*Parámetros!$B$12/12</f>
        <v/>
      </c>
      <c r="K10" s="16">
        <f>IF(N9&lt;0,-N9*Parámetros!$B$13/12,0)</f>
        <v/>
      </c>
      <c r="L10" s="16">
        <f>SUM(H10:K10)</f>
        <v/>
      </c>
      <c r="M10" s="16">
        <f>G10-L10</f>
        <v/>
      </c>
      <c r="N10" s="16">
        <f>N9+M10</f>
        <v/>
      </c>
    </row>
    <row r="11">
      <c r="A11" s="14" t="n">
        <v>8</v>
      </c>
      <c r="B11" s="15" t="n">
        <v>46600</v>
      </c>
      <c r="C11" s="14" t="inlineStr">
        <is>
          <t>Embarque lote 1</t>
        </is>
      </c>
      <c r="D11" s="16" t="n">
        <v>2666667</v>
      </c>
      <c r="E11" s="16" t="n">
        <v>0</v>
      </c>
      <c r="F11" s="16" t="n">
        <v>0</v>
      </c>
      <c r="G11" s="16">
        <f>SUM(D11:F11)</f>
        <v/>
      </c>
      <c r="H11" s="16" t="n">
        <v>3033333</v>
      </c>
      <c r="I11" s="16" t="n">
        <v>166667</v>
      </c>
      <c r="J11" s="16">
        <f>Parámetros!$B$10*Parámetros!$B$12/12</f>
        <v/>
      </c>
      <c r="K11" s="16">
        <f>IF(N10&lt;0,-N10*Parámetros!$B$13/12,0)</f>
        <v/>
      </c>
      <c r="L11" s="16">
        <f>SUM(H11:K11)</f>
        <v/>
      </c>
      <c r="M11" s="16">
        <f>G11-L11</f>
        <v/>
      </c>
      <c r="N11" s="16">
        <f>N10+M11</f>
        <v/>
      </c>
    </row>
    <row r="12">
      <c r="A12" s="14" t="n">
        <v>9</v>
      </c>
      <c r="B12" s="15" t="n">
        <v>46631</v>
      </c>
      <c r="C12" s="14" t="inlineStr"/>
      <c r="D12" s="16" t="n">
        <v>0</v>
      </c>
      <c r="E12" s="16" t="n">
        <v>0</v>
      </c>
      <c r="F12" s="16" t="n">
        <v>0</v>
      </c>
      <c r="G12" s="16">
        <f>SUM(D12:F12)</f>
        <v/>
      </c>
      <c r="H12" s="16" t="n">
        <v>0</v>
      </c>
      <c r="I12" s="16" t="n">
        <v>166667</v>
      </c>
      <c r="J12" s="16">
        <f>Parámetros!$B$10*Parámetros!$B$12/12</f>
        <v/>
      </c>
      <c r="K12" s="16">
        <f>IF(N11&lt;0,-N11*Parámetros!$B$13/12,0)</f>
        <v/>
      </c>
      <c r="L12" s="16">
        <f>SUM(H12:K12)</f>
        <v/>
      </c>
      <c r="M12" s="16">
        <f>G12-L12</f>
        <v/>
      </c>
      <c r="N12" s="16">
        <f>N11+M12</f>
        <v/>
      </c>
    </row>
    <row r="13">
      <c r="A13" s="14" t="n">
        <v>10</v>
      </c>
      <c r="B13" s="15" t="n">
        <v>46661</v>
      </c>
      <c r="C13" s="14" t="inlineStr"/>
      <c r="D13" s="16" t="n">
        <v>0</v>
      </c>
      <c r="E13" s="16" t="n">
        <v>0</v>
      </c>
      <c r="F13" s="16" t="n">
        <v>0</v>
      </c>
      <c r="G13" s="16">
        <f>SUM(D13:F13)</f>
        <v/>
      </c>
      <c r="H13" s="16" t="n">
        <v>1300000</v>
      </c>
      <c r="I13" s="16" t="n">
        <v>166667</v>
      </c>
      <c r="J13" s="16">
        <f>Parámetros!$B$10*Parámetros!$B$12/12</f>
        <v/>
      </c>
      <c r="K13" s="16">
        <f>IF(N12&lt;0,-N12*Parámetros!$B$13/12,0)</f>
        <v/>
      </c>
      <c r="L13" s="16">
        <f>SUM(H13:K13)</f>
        <v/>
      </c>
      <c r="M13" s="16">
        <f>G13-L13</f>
        <v/>
      </c>
      <c r="N13" s="16">
        <f>N12+M13</f>
        <v/>
      </c>
    </row>
    <row r="14">
      <c r="A14" s="14" t="n">
        <v>11</v>
      </c>
      <c r="B14" s="15" t="n">
        <v>46692</v>
      </c>
      <c r="C14" s="14" t="inlineStr"/>
      <c r="D14" s="16" t="n">
        <v>0</v>
      </c>
      <c r="E14" s="16" t="n">
        <v>0</v>
      </c>
      <c r="F14" s="16" t="n">
        <v>0</v>
      </c>
      <c r="G14" s="16">
        <f>SUM(D14:F14)</f>
        <v/>
      </c>
      <c r="H14" s="16" t="n">
        <v>0</v>
      </c>
      <c r="I14" s="16" t="n">
        <v>166667</v>
      </c>
      <c r="J14" s="16">
        <f>Parámetros!$B$10*Parámetros!$B$12/12</f>
        <v/>
      </c>
      <c r="K14" s="16">
        <f>IF(N13&lt;0,-N13*Parámetros!$B$13/12,0)</f>
        <v/>
      </c>
      <c r="L14" s="16">
        <f>SUM(H14:K14)</f>
        <v/>
      </c>
      <c r="M14" s="16">
        <f>G14-L14</f>
        <v/>
      </c>
      <c r="N14" s="16">
        <f>N13+M14</f>
        <v/>
      </c>
    </row>
    <row r="15">
      <c r="A15" s="14" t="n">
        <v>12</v>
      </c>
      <c r="B15" s="15" t="n">
        <v>46722</v>
      </c>
      <c r="C15" s="14" t="inlineStr"/>
      <c r="D15" s="16" t="n">
        <v>0</v>
      </c>
      <c r="E15" s="16" t="n">
        <v>0</v>
      </c>
      <c r="F15" s="16" t="n">
        <v>0</v>
      </c>
      <c r="G15" s="16">
        <f>SUM(D15:F15)</f>
        <v/>
      </c>
      <c r="H15" s="16" t="n">
        <v>0</v>
      </c>
      <c r="I15" s="16" t="n">
        <v>166667</v>
      </c>
      <c r="J15" s="16">
        <f>Parámetros!$B$10*Parámetros!$B$12/12</f>
        <v/>
      </c>
      <c r="K15" s="16">
        <f>IF(N14&lt;0,-N14*Parámetros!$B$13/12,0)</f>
        <v/>
      </c>
      <c r="L15" s="16">
        <f>SUM(H15:K15)</f>
        <v/>
      </c>
      <c r="M15" s="16">
        <f>G15-L15</f>
        <v/>
      </c>
      <c r="N15" s="16">
        <f>N14+M15</f>
        <v/>
      </c>
    </row>
    <row r="16">
      <c r="A16" s="14" t="n">
        <v>13</v>
      </c>
      <c r="B16" s="15" t="n">
        <v>46753</v>
      </c>
      <c r="C16" s="14" t="inlineStr"/>
      <c r="D16" s="16" t="n">
        <v>0</v>
      </c>
      <c r="E16" s="16" t="n">
        <v>0</v>
      </c>
      <c r="F16" s="16" t="n">
        <v>0</v>
      </c>
      <c r="G16" s="16">
        <f>SUM(D16:F16)</f>
        <v/>
      </c>
      <c r="H16" s="16" t="n">
        <v>0</v>
      </c>
      <c r="I16" s="16" t="n">
        <v>166667</v>
      </c>
      <c r="J16" s="16">
        <f>Parámetros!$B$10*Parámetros!$B$12/12</f>
        <v/>
      </c>
      <c r="K16" s="16">
        <f>IF(N15&lt;0,-N15*Parámetros!$B$13/12,0)</f>
        <v/>
      </c>
      <c r="L16" s="16">
        <f>SUM(H16:K16)</f>
        <v/>
      </c>
      <c r="M16" s="16">
        <f>G16-L16</f>
        <v/>
      </c>
      <c r="N16" s="16">
        <f>N15+M16</f>
        <v/>
      </c>
    </row>
    <row r="17">
      <c r="A17" s="14" t="n">
        <v>14</v>
      </c>
      <c r="B17" s="15" t="n">
        <v>46784</v>
      </c>
      <c r="C17" s="14" t="inlineStr">
        <is>
          <t>PAC lote 1</t>
        </is>
      </c>
      <c r="D17" s="16" t="n">
        <v>0</v>
      </c>
      <c r="E17" s="16" t="n">
        <v>3333333</v>
      </c>
      <c r="F17" s="16" t="n">
        <v>0</v>
      </c>
      <c r="G17" s="16">
        <f>SUM(D17:F17)</f>
        <v/>
      </c>
      <c r="H17" s="16" t="n">
        <v>0</v>
      </c>
      <c r="I17" s="16" t="n">
        <v>0</v>
      </c>
      <c r="J17" s="16">
        <f>Parámetros!$B$10*Parámetros!$B$12/12</f>
        <v/>
      </c>
      <c r="K17" s="16">
        <f>IF(N16&lt;0,-N16*Parámetros!$B$13/12,0)</f>
        <v/>
      </c>
      <c r="L17" s="16">
        <f>SUM(H17:K17)</f>
        <v/>
      </c>
      <c r="M17" s="16">
        <f>G17-L17</f>
        <v/>
      </c>
      <c r="N17" s="16">
        <f>N16+M17</f>
        <v/>
      </c>
    </row>
    <row r="18">
      <c r="A18" s="14" t="n">
        <v>15</v>
      </c>
      <c r="B18" s="15" t="n">
        <v>46813</v>
      </c>
      <c r="C18" s="14" t="inlineStr"/>
      <c r="D18" s="16" t="n">
        <v>0</v>
      </c>
      <c r="E18" s="16" t="n">
        <v>0</v>
      </c>
      <c r="F18" s="16" t="n">
        <v>0</v>
      </c>
      <c r="G18" s="16">
        <f>SUM(D18:F18)</f>
        <v/>
      </c>
      <c r="H18" s="16" t="n">
        <v>0</v>
      </c>
      <c r="I18" s="16" t="n">
        <v>0</v>
      </c>
      <c r="J18" s="16">
        <f>Parámetros!$B$10*Parámetros!$B$12/12</f>
        <v/>
      </c>
      <c r="K18" s="16">
        <f>IF(N17&lt;0,-N17*Parámetros!$B$13/12,0)</f>
        <v/>
      </c>
      <c r="L18" s="16">
        <f>SUM(H18:K18)</f>
        <v/>
      </c>
      <c r="M18" s="16">
        <f>G18-L18</f>
        <v/>
      </c>
      <c r="N18" s="16">
        <f>N17+M18</f>
        <v/>
      </c>
    </row>
    <row r="19">
      <c r="A19" s="14" t="n">
        <v>16</v>
      </c>
      <c r="B19" s="15" t="n">
        <v>46844</v>
      </c>
      <c r="C19" s="14" t="inlineStr">
        <is>
          <t>Embarque lote 2</t>
        </is>
      </c>
      <c r="D19" s="16" t="n">
        <v>2666667</v>
      </c>
      <c r="E19" s="16" t="n">
        <v>0</v>
      </c>
      <c r="F19" s="16" t="n">
        <v>0</v>
      </c>
      <c r="G19" s="16">
        <f>SUM(D19:F19)</f>
        <v/>
      </c>
      <c r="H19" s="16" t="n">
        <v>3033333</v>
      </c>
      <c r="I19" s="16" t="n">
        <v>166667</v>
      </c>
      <c r="J19" s="16">
        <f>Parámetros!$B$10*Parámetros!$B$12/12</f>
        <v/>
      </c>
      <c r="K19" s="16">
        <f>IF(N18&lt;0,-N18*Parámetros!$B$13/12,0)</f>
        <v/>
      </c>
      <c r="L19" s="16">
        <f>SUM(H19:K19)</f>
        <v/>
      </c>
      <c r="M19" s="16">
        <f>G19-L19</f>
        <v/>
      </c>
      <c r="N19" s="16">
        <f>N18+M19</f>
        <v/>
      </c>
    </row>
    <row r="20">
      <c r="A20" s="14" t="n">
        <v>17</v>
      </c>
      <c r="B20" s="15" t="n">
        <v>46874</v>
      </c>
      <c r="C20" s="14" t="inlineStr"/>
      <c r="D20" s="16" t="n">
        <v>0</v>
      </c>
      <c r="E20" s="16" t="n">
        <v>0</v>
      </c>
      <c r="F20" s="16" t="n">
        <v>0</v>
      </c>
      <c r="G20" s="16">
        <f>SUM(D20:F20)</f>
        <v/>
      </c>
      <c r="H20" s="16" t="n">
        <v>0</v>
      </c>
      <c r="I20" s="16" t="n">
        <v>166667</v>
      </c>
      <c r="J20" s="16">
        <f>Parámetros!$B$10*Parámetros!$B$12/12</f>
        <v/>
      </c>
      <c r="K20" s="16">
        <f>IF(N19&lt;0,-N19*Parámetros!$B$13/12,0)</f>
        <v/>
      </c>
      <c r="L20" s="16">
        <f>SUM(H20:K20)</f>
        <v/>
      </c>
      <c r="M20" s="16">
        <f>G20-L20</f>
        <v/>
      </c>
      <c r="N20" s="16">
        <f>N19+M20</f>
        <v/>
      </c>
    </row>
    <row r="21">
      <c r="A21" s="14" t="n">
        <v>18</v>
      </c>
      <c r="B21" s="15" t="n">
        <v>46905</v>
      </c>
      <c r="C21" s="14" t="inlineStr"/>
      <c r="D21" s="16" t="n">
        <v>0</v>
      </c>
      <c r="E21" s="16" t="n">
        <v>0</v>
      </c>
      <c r="F21" s="16" t="n">
        <v>0</v>
      </c>
      <c r="G21" s="16">
        <f>SUM(D21:F21)</f>
        <v/>
      </c>
      <c r="H21" s="16" t="n">
        <v>1300000</v>
      </c>
      <c r="I21" s="16" t="n">
        <v>166667</v>
      </c>
      <c r="J21" s="16">
        <f>Parámetros!$B$10*Parámetros!$B$12/12</f>
        <v/>
      </c>
      <c r="K21" s="16">
        <f>IF(N20&lt;0,-N20*Parámetros!$B$13/12,0)</f>
        <v/>
      </c>
      <c r="L21" s="16">
        <f>SUM(H21:K21)</f>
        <v/>
      </c>
      <c r="M21" s="16">
        <f>G21-L21</f>
        <v/>
      </c>
      <c r="N21" s="16">
        <f>N20+M21</f>
        <v/>
      </c>
    </row>
    <row r="22">
      <c r="A22" s="14" t="n">
        <v>19</v>
      </c>
      <c r="B22" s="15" t="n">
        <v>46935</v>
      </c>
      <c r="C22" s="14" t="inlineStr"/>
      <c r="D22" s="16" t="n">
        <v>0</v>
      </c>
      <c r="E22" s="16" t="n">
        <v>0</v>
      </c>
      <c r="F22" s="16" t="n">
        <v>0</v>
      </c>
      <c r="G22" s="16">
        <f>SUM(D22:F22)</f>
        <v/>
      </c>
      <c r="H22" s="16" t="n">
        <v>0</v>
      </c>
      <c r="I22" s="16" t="n">
        <v>166667</v>
      </c>
      <c r="J22" s="16">
        <f>Parámetros!$B$10*Parámetros!$B$12/12</f>
        <v/>
      </c>
      <c r="K22" s="16">
        <f>IF(N21&lt;0,-N21*Parámetros!$B$13/12,0)</f>
        <v/>
      </c>
      <c r="L22" s="16">
        <f>SUM(H22:K22)</f>
        <v/>
      </c>
      <c r="M22" s="16">
        <f>G22-L22</f>
        <v/>
      </c>
      <c r="N22" s="16">
        <f>N21+M22</f>
        <v/>
      </c>
    </row>
    <row r="23">
      <c r="A23" s="14" t="n">
        <v>20</v>
      </c>
      <c r="B23" s="15" t="n">
        <v>46966</v>
      </c>
      <c r="C23" s="14" t="inlineStr"/>
      <c r="D23" s="16" t="n">
        <v>0</v>
      </c>
      <c r="E23" s="16" t="n">
        <v>0</v>
      </c>
      <c r="F23" s="16" t="n">
        <v>0</v>
      </c>
      <c r="G23" s="16">
        <f>SUM(D23:F23)</f>
        <v/>
      </c>
      <c r="H23" s="16" t="n">
        <v>0</v>
      </c>
      <c r="I23" s="16" t="n">
        <v>166667</v>
      </c>
      <c r="J23" s="16">
        <f>Parámetros!$B$10*Parámetros!$B$12/12</f>
        <v/>
      </c>
      <c r="K23" s="16">
        <f>IF(N22&lt;0,-N22*Parámetros!$B$13/12,0)</f>
        <v/>
      </c>
      <c r="L23" s="16">
        <f>SUM(H23:K23)</f>
        <v/>
      </c>
      <c r="M23" s="16">
        <f>G23-L23</f>
        <v/>
      </c>
      <c r="N23" s="16">
        <f>N22+M23</f>
        <v/>
      </c>
    </row>
    <row r="24">
      <c r="A24" s="14" t="n">
        <v>21</v>
      </c>
      <c r="B24" s="15" t="n">
        <v>46997</v>
      </c>
      <c r="C24" s="14" t="inlineStr"/>
      <c r="D24" s="16" t="n">
        <v>0</v>
      </c>
      <c r="E24" s="16" t="n">
        <v>0</v>
      </c>
      <c r="F24" s="16" t="n">
        <v>0</v>
      </c>
      <c r="G24" s="16">
        <f>SUM(D24:F24)</f>
        <v/>
      </c>
      <c r="H24" s="16" t="n">
        <v>0</v>
      </c>
      <c r="I24" s="16" t="n">
        <v>166667</v>
      </c>
      <c r="J24" s="16">
        <f>Parámetros!$B$10*Parámetros!$B$12/12</f>
        <v/>
      </c>
      <c r="K24" s="16">
        <f>IF(N23&lt;0,-N23*Parámetros!$B$13/12,0)</f>
        <v/>
      </c>
      <c r="L24" s="16">
        <f>SUM(H24:K24)</f>
        <v/>
      </c>
      <c r="M24" s="16">
        <f>G24-L24</f>
        <v/>
      </c>
      <c r="N24" s="16">
        <f>N23+M24</f>
        <v/>
      </c>
    </row>
    <row r="25">
      <c r="A25" s="14" t="n">
        <v>22</v>
      </c>
      <c r="B25" s="15" t="n">
        <v>47027</v>
      </c>
      <c r="C25" s="14" t="inlineStr">
        <is>
          <t>PAC lote 2</t>
        </is>
      </c>
      <c r="D25" s="16" t="n">
        <v>0</v>
      </c>
      <c r="E25" s="16" t="n">
        <v>3333333</v>
      </c>
      <c r="F25" s="16" t="n">
        <v>0</v>
      </c>
      <c r="G25" s="16">
        <f>SUM(D25:F25)</f>
        <v/>
      </c>
      <c r="H25" s="16" t="n">
        <v>0</v>
      </c>
      <c r="I25" s="16" t="n">
        <v>0</v>
      </c>
      <c r="J25" s="16">
        <f>Parámetros!$B$10*Parámetros!$B$12/12</f>
        <v/>
      </c>
      <c r="K25" s="16">
        <f>IF(N24&lt;0,-N24*Parámetros!$B$13/12,0)</f>
        <v/>
      </c>
      <c r="L25" s="16">
        <f>SUM(H25:K25)</f>
        <v/>
      </c>
      <c r="M25" s="16">
        <f>G25-L25</f>
        <v/>
      </c>
      <c r="N25" s="16">
        <f>N24+M25</f>
        <v/>
      </c>
    </row>
    <row r="26">
      <c r="A26" s="14" t="n">
        <v>23</v>
      </c>
      <c r="B26" s="15" t="n">
        <v>47058</v>
      </c>
      <c r="C26" s="14" t="inlineStr"/>
      <c r="D26" s="16" t="n">
        <v>0</v>
      </c>
      <c r="E26" s="16" t="n">
        <v>0</v>
      </c>
      <c r="F26" s="16" t="n">
        <v>0</v>
      </c>
      <c r="G26" s="16">
        <f>SUM(D26:F26)</f>
        <v/>
      </c>
      <c r="H26" s="16" t="n">
        <v>0</v>
      </c>
      <c r="I26" s="16" t="n">
        <v>0</v>
      </c>
      <c r="J26" s="16">
        <f>Parámetros!$B$10*Parámetros!$B$12/12</f>
        <v/>
      </c>
      <c r="K26" s="16">
        <f>IF(N25&lt;0,-N25*Parámetros!$B$13/12,0)</f>
        <v/>
      </c>
      <c r="L26" s="16">
        <f>SUM(H26:K26)</f>
        <v/>
      </c>
      <c r="M26" s="16">
        <f>G26-L26</f>
        <v/>
      </c>
      <c r="N26" s="16">
        <f>N25+M26</f>
        <v/>
      </c>
    </row>
    <row r="27">
      <c r="A27" s="14" t="n">
        <v>24</v>
      </c>
      <c r="B27" s="15" t="n">
        <v>47088</v>
      </c>
      <c r="C27" s="14" t="inlineStr">
        <is>
          <t>Embarque lote 3</t>
        </is>
      </c>
      <c r="D27" s="16" t="n">
        <v>2666667</v>
      </c>
      <c r="E27" s="16" t="n">
        <v>0</v>
      </c>
      <c r="F27" s="16" t="n">
        <v>0</v>
      </c>
      <c r="G27" s="16">
        <f>SUM(D27:F27)</f>
        <v/>
      </c>
      <c r="H27" s="16" t="n">
        <v>3033333</v>
      </c>
      <c r="I27" s="16" t="n">
        <v>166667</v>
      </c>
      <c r="J27" s="16">
        <f>Parámetros!$B$10*Parámetros!$B$12/12</f>
        <v/>
      </c>
      <c r="K27" s="16">
        <f>IF(N26&lt;0,-N26*Parámetros!$B$13/12,0)</f>
        <v/>
      </c>
      <c r="L27" s="16">
        <f>SUM(H27:K27)</f>
        <v/>
      </c>
      <c r="M27" s="16">
        <f>G27-L27</f>
        <v/>
      </c>
      <c r="N27" s="16">
        <f>N26+M27</f>
        <v/>
      </c>
    </row>
    <row r="28">
      <c r="A28" s="14" t="n">
        <v>25</v>
      </c>
      <c r="B28" s="15" t="n">
        <v>47119</v>
      </c>
      <c r="C28" s="14" t="inlineStr"/>
      <c r="D28" s="16" t="n">
        <v>0</v>
      </c>
      <c r="E28" s="16" t="n">
        <v>0</v>
      </c>
      <c r="F28" s="16" t="n">
        <v>0</v>
      </c>
      <c r="G28" s="16">
        <f>SUM(D28:F28)</f>
        <v/>
      </c>
      <c r="H28" s="16" t="n">
        <v>0</v>
      </c>
      <c r="I28" s="16" t="n">
        <v>166667</v>
      </c>
      <c r="J28" s="16">
        <f>Parámetros!$B$10*Parámetros!$B$12/12</f>
        <v/>
      </c>
      <c r="K28" s="16">
        <f>IF(N27&lt;0,-N27*Parámetros!$B$13/12,0)</f>
        <v/>
      </c>
      <c r="L28" s="16">
        <f>SUM(H28:K28)</f>
        <v/>
      </c>
      <c r="M28" s="16">
        <f>G28-L28</f>
        <v/>
      </c>
      <c r="N28" s="16">
        <f>N27+M28</f>
        <v/>
      </c>
    </row>
    <row r="29">
      <c r="A29" s="14" t="n">
        <v>26</v>
      </c>
      <c r="B29" s="15" t="n">
        <v>47150</v>
      </c>
      <c r="C29" s="14" t="inlineStr">
        <is>
          <t>FAC lote 1</t>
        </is>
      </c>
      <c r="D29" s="16" t="n">
        <v>0</v>
      </c>
      <c r="E29" s="16" t="n">
        <v>0</v>
      </c>
      <c r="F29" s="16" t="n">
        <v>666667</v>
      </c>
      <c r="G29" s="16">
        <f>SUM(D29:F29)</f>
        <v/>
      </c>
      <c r="H29" s="16" t="n">
        <v>0</v>
      </c>
      <c r="I29" s="16" t="n">
        <v>166667</v>
      </c>
      <c r="J29" s="16">
        <f>Parámetros!$B$10*Parámetros!$B$12/12</f>
        <v/>
      </c>
      <c r="K29" s="16">
        <f>IF(N28&lt;0,-N28*Parámetros!$B$13/12,0)</f>
        <v/>
      </c>
      <c r="L29" s="16">
        <f>SUM(H29:K29)</f>
        <v/>
      </c>
      <c r="M29" s="16">
        <f>G29-L29</f>
        <v/>
      </c>
      <c r="N29" s="16">
        <f>N28+M29</f>
        <v/>
      </c>
    </row>
    <row r="30">
      <c r="A30" s="14" t="n">
        <v>27</v>
      </c>
      <c r="B30" s="15" t="n">
        <v>47178</v>
      </c>
      <c r="C30" s="14" t="inlineStr"/>
      <c r="D30" s="16" t="n">
        <v>0</v>
      </c>
      <c r="E30" s="16" t="n">
        <v>0</v>
      </c>
      <c r="F30" s="16" t="n">
        <v>0</v>
      </c>
      <c r="G30" s="16">
        <f>SUM(D30:F30)</f>
        <v/>
      </c>
      <c r="H30" s="16" t="n">
        <v>0</v>
      </c>
      <c r="I30" s="16" t="n">
        <v>166667</v>
      </c>
      <c r="J30" s="16">
        <f>Parámetros!$B$10*Parámetros!$B$12/12</f>
        <v/>
      </c>
      <c r="K30" s="16">
        <f>IF(N29&lt;0,-N29*Parámetros!$B$13/12,0)</f>
        <v/>
      </c>
      <c r="L30" s="16">
        <f>SUM(H30:K30)</f>
        <v/>
      </c>
      <c r="M30" s="16">
        <f>G30-L30</f>
        <v/>
      </c>
      <c r="N30" s="16">
        <f>N29+M30</f>
        <v/>
      </c>
    </row>
    <row r="31">
      <c r="A31" s="14" t="n">
        <v>28</v>
      </c>
      <c r="B31" s="15" t="n">
        <v>47209</v>
      </c>
      <c r="C31" s="14" t="inlineStr"/>
      <c r="D31" s="16" t="n">
        <v>0</v>
      </c>
      <c r="E31" s="16" t="n">
        <v>0</v>
      </c>
      <c r="F31" s="16" t="n">
        <v>0</v>
      </c>
      <c r="G31" s="16">
        <f>SUM(D31:F31)</f>
        <v/>
      </c>
      <c r="H31" s="16" t="n">
        <v>0</v>
      </c>
      <c r="I31" s="16" t="n">
        <v>166667</v>
      </c>
      <c r="J31" s="16">
        <f>Parámetros!$B$10*Parámetros!$B$12/12</f>
        <v/>
      </c>
      <c r="K31" s="16">
        <f>IF(N30&lt;0,-N30*Parámetros!$B$13/12,0)</f>
        <v/>
      </c>
      <c r="L31" s="16">
        <f>SUM(H31:K31)</f>
        <v/>
      </c>
      <c r="M31" s="16">
        <f>G31-L31</f>
        <v/>
      </c>
      <c r="N31" s="16">
        <f>N30+M31</f>
        <v/>
      </c>
    </row>
    <row r="32">
      <c r="A32" s="14" t="n">
        <v>29</v>
      </c>
      <c r="B32" s="15" t="n">
        <v>47239</v>
      </c>
      <c r="C32" s="14" t="inlineStr"/>
      <c r="D32" s="16" t="n">
        <v>0</v>
      </c>
      <c r="E32" s="16" t="n">
        <v>0</v>
      </c>
      <c r="F32" s="16" t="n">
        <v>0</v>
      </c>
      <c r="G32" s="16">
        <f>SUM(D32:F32)</f>
        <v/>
      </c>
      <c r="H32" s="16" t="n">
        <v>0</v>
      </c>
      <c r="I32" s="16" t="n">
        <v>166667</v>
      </c>
      <c r="J32" s="16">
        <f>Parámetros!$B$10*Parámetros!$B$12/12</f>
        <v/>
      </c>
      <c r="K32" s="16">
        <f>IF(N31&lt;0,-N31*Parámetros!$B$13/12,0)</f>
        <v/>
      </c>
      <c r="L32" s="16">
        <f>SUM(H32:K32)</f>
        <v/>
      </c>
      <c r="M32" s="16">
        <f>G32-L32</f>
        <v/>
      </c>
      <c r="N32" s="16">
        <f>N31+M32</f>
        <v/>
      </c>
    </row>
    <row r="33">
      <c r="A33" s="14" t="n">
        <v>30</v>
      </c>
      <c r="B33" s="15" t="n">
        <v>47270</v>
      </c>
      <c r="C33" s="14" t="inlineStr">
        <is>
          <t>PAC lote 3</t>
        </is>
      </c>
      <c r="D33" s="16" t="n">
        <v>0</v>
      </c>
      <c r="E33" s="16" t="n">
        <v>3333333</v>
      </c>
      <c r="F33" s="16" t="n">
        <v>0</v>
      </c>
      <c r="G33" s="16">
        <f>SUM(D33:F33)</f>
        <v/>
      </c>
      <c r="H33" s="16" t="n">
        <v>0</v>
      </c>
      <c r="I33" s="16" t="n">
        <v>0</v>
      </c>
      <c r="J33" s="16">
        <f>Parámetros!$B$10*Parámetros!$B$12/12</f>
        <v/>
      </c>
      <c r="K33" s="16">
        <f>IF(N32&lt;0,-N32*Parámetros!$B$13/12,0)</f>
        <v/>
      </c>
      <c r="L33" s="16">
        <f>SUM(H33:K33)</f>
        <v/>
      </c>
      <c r="M33" s="16">
        <f>G33-L33</f>
        <v/>
      </c>
      <c r="N33" s="16">
        <f>N32+M33</f>
        <v/>
      </c>
    </row>
    <row r="34">
      <c r="A34" s="14" t="n">
        <v>31</v>
      </c>
      <c r="B34" s="15" t="n">
        <v>47300</v>
      </c>
      <c r="C34" s="14" t="inlineStr"/>
      <c r="D34" s="16" t="n">
        <v>0</v>
      </c>
      <c r="E34" s="16" t="n">
        <v>0</v>
      </c>
      <c r="F34" s="16" t="n">
        <v>0</v>
      </c>
      <c r="G34" s="16">
        <f>SUM(D34:F34)</f>
        <v/>
      </c>
      <c r="H34" s="16" t="n">
        <v>0</v>
      </c>
      <c r="I34" s="16" t="n">
        <v>0</v>
      </c>
      <c r="J34" s="16">
        <f>Parámetros!$B$10*Parámetros!$B$12/12</f>
        <v/>
      </c>
      <c r="K34" s="16">
        <f>IF(N33&lt;0,-N33*Parámetros!$B$13/12,0)</f>
        <v/>
      </c>
      <c r="L34" s="16">
        <f>SUM(H34:K34)</f>
        <v/>
      </c>
      <c r="M34" s="16">
        <f>G34-L34</f>
        <v/>
      </c>
      <c r="N34" s="16">
        <f>N33+M34</f>
        <v/>
      </c>
    </row>
    <row r="35">
      <c r="A35" s="14" t="n">
        <v>32</v>
      </c>
      <c r="B35" s="15" t="n">
        <v>47331</v>
      </c>
      <c r="C35" s="14" t="inlineStr"/>
      <c r="D35" s="16" t="n">
        <v>0</v>
      </c>
      <c r="E35" s="16" t="n">
        <v>0</v>
      </c>
      <c r="F35" s="16" t="n">
        <v>0</v>
      </c>
      <c r="G35" s="16">
        <f>SUM(D35:F35)</f>
        <v/>
      </c>
      <c r="H35" s="16" t="n">
        <v>0</v>
      </c>
      <c r="I35" s="16" t="n">
        <v>0</v>
      </c>
      <c r="J35" s="16">
        <f>Parámetros!$B$10*Parámetros!$B$12/12</f>
        <v/>
      </c>
      <c r="K35" s="16">
        <f>IF(N34&lt;0,-N34*Parámetros!$B$13/12,0)</f>
        <v/>
      </c>
      <c r="L35" s="16">
        <f>SUM(H35:K35)</f>
        <v/>
      </c>
      <c r="M35" s="16">
        <f>G35-L35</f>
        <v/>
      </c>
      <c r="N35" s="16">
        <f>N34+M35</f>
        <v/>
      </c>
    </row>
    <row r="36">
      <c r="A36" s="14" t="n">
        <v>33</v>
      </c>
      <c r="B36" s="15" t="n">
        <v>47362</v>
      </c>
      <c r="C36" s="14" t="inlineStr"/>
      <c r="D36" s="16" t="n">
        <v>0</v>
      </c>
      <c r="E36" s="16" t="n">
        <v>0</v>
      </c>
      <c r="F36" s="16" t="n">
        <v>0</v>
      </c>
      <c r="G36" s="16">
        <f>SUM(D36:F36)</f>
        <v/>
      </c>
      <c r="H36" s="16" t="n">
        <v>0</v>
      </c>
      <c r="I36" s="16" t="n">
        <v>0</v>
      </c>
      <c r="J36" s="16">
        <f>Parámetros!$B$10*Parámetros!$B$12/12</f>
        <v/>
      </c>
      <c r="K36" s="16">
        <f>IF(N35&lt;0,-N35*Parámetros!$B$13/12,0)</f>
        <v/>
      </c>
      <c r="L36" s="16">
        <f>SUM(H36:K36)</f>
        <v/>
      </c>
      <c r="M36" s="16">
        <f>G36-L36</f>
        <v/>
      </c>
      <c r="N36" s="16">
        <f>N35+M36</f>
        <v/>
      </c>
    </row>
    <row r="37">
      <c r="A37" s="14" t="n">
        <v>34</v>
      </c>
      <c r="B37" s="15" t="n">
        <v>47392</v>
      </c>
      <c r="C37" s="14" t="inlineStr">
        <is>
          <t>FAC lote 2</t>
        </is>
      </c>
      <c r="D37" s="16" t="n">
        <v>0</v>
      </c>
      <c r="E37" s="16" t="n">
        <v>0</v>
      </c>
      <c r="F37" s="16" t="n">
        <v>666667</v>
      </c>
      <c r="G37" s="16">
        <f>SUM(D37:F37)</f>
        <v/>
      </c>
      <c r="H37" s="16" t="n">
        <v>0</v>
      </c>
      <c r="I37" s="16" t="n">
        <v>0</v>
      </c>
      <c r="J37" s="16">
        <f>Parámetros!$B$10*Parámetros!$B$12/12</f>
        <v/>
      </c>
      <c r="K37" s="16">
        <f>IF(N36&lt;0,-N36*Parámetros!$B$13/12,0)</f>
        <v/>
      </c>
      <c r="L37" s="16">
        <f>SUM(H37:K37)</f>
        <v/>
      </c>
      <c r="M37" s="16">
        <f>G37-L37</f>
        <v/>
      </c>
      <c r="N37" s="16">
        <f>N36+M37</f>
        <v/>
      </c>
    </row>
    <row r="38">
      <c r="A38" s="14" t="n">
        <v>35</v>
      </c>
      <c r="B38" s="15" t="n">
        <v>47423</v>
      </c>
      <c r="C38" s="14" t="inlineStr"/>
      <c r="D38" s="16" t="n">
        <v>0</v>
      </c>
      <c r="E38" s="16" t="n">
        <v>0</v>
      </c>
      <c r="F38" s="16" t="n">
        <v>0</v>
      </c>
      <c r="G38" s="16">
        <f>SUM(D38:F38)</f>
        <v/>
      </c>
      <c r="H38" s="16" t="n">
        <v>0</v>
      </c>
      <c r="I38" s="16" t="n">
        <v>0</v>
      </c>
      <c r="J38" s="16">
        <f>Parámetros!$B$10*Parámetros!$B$12/12</f>
        <v/>
      </c>
      <c r="K38" s="16">
        <f>IF(N37&lt;0,-N37*Parámetros!$B$13/12,0)</f>
        <v/>
      </c>
      <c r="L38" s="16">
        <f>SUM(H38:K38)</f>
        <v/>
      </c>
      <c r="M38" s="16">
        <f>G38-L38</f>
        <v/>
      </c>
      <c r="N38" s="16">
        <f>N37+M38</f>
        <v/>
      </c>
    </row>
    <row r="39">
      <c r="A39" s="14" t="n">
        <v>36</v>
      </c>
      <c r="B39" s="15" t="n">
        <v>47453</v>
      </c>
      <c r="C39" s="14" t="inlineStr"/>
      <c r="D39" s="16" t="n">
        <v>0</v>
      </c>
      <c r="E39" s="16" t="n">
        <v>0</v>
      </c>
      <c r="F39" s="16" t="n">
        <v>0</v>
      </c>
      <c r="G39" s="16">
        <f>SUM(D39:F39)</f>
        <v/>
      </c>
      <c r="H39" s="16" t="n">
        <v>0</v>
      </c>
      <c r="I39" s="16" t="n">
        <v>0</v>
      </c>
      <c r="J39" s="16">
        <f>Parámetros!$B$10*Parámetros!$B$12/12</f>
        <v/>
      </c>
      <c r="K39" s="16">
        <f>IF(N38&lt;0,-N38*Parámetros!$B$13/12,0)</f>
        <v/>
      </c>
      <c r="L39" s="16">
        <f>SUM(H39:K39)</f>
        <v/>
      </c>
      <c r="M39" s="16">
        <f>G39-L39</f>
        <v/>
      </c>
      <c r="N39" s="16">
        <f>N38+M39</f>
        <v/>
      </c>
    </row>
    <row r="40">
      <c r="A40" s="14" t="n">
        <v>37</v>
      </c>
      <c r="B40" s="15" t="n">
        <v>47484</v>
      </c>
      <c r="C40" s="14" t="inlineStr"/>
      <c r="D40" s="16" t="n">
        <v>0</v>
      </c>
      <c r="E40" s="16" t="n">
        <v>0</v>
      </c>
      <c r="F40" s="16" t="n">
        <v>0</v>
      </c>
      <c r="G40" s="16">
        <f>SUM(D40:F40)</f>
        <v/>
      </c>
      <c r="H40" s="16" t="n">
        <v>0</v>
      </c>
      <c r="I40" s="16" t="n">
        <v>0</v>
      </c>
      <c r="J40" s="16">
        <f>Parámetros!$B$10*Parámetros!$B$12/12</f>
        <v/>
      </c>
      <c r="K40" s="16">
        <f>IF(N39&lt;0,-N39*Parámetros!$B$13/12,0)</f>
        <v/>
      </c>
      <c r="L40" s="16">
        <f>SUM(H40:K40)</f>
        <v/>
      </c>
      <c r="M40" s="16">
        <f>G40-L40</f>
        <v/>
      </c>
      <c r="N40" s="16">
        <f>N39+M40</f>
        <v/>
      </c>
    </row>
    <row r="41">
      <c r="A41" s="14" t="n">
        <v>38</v>
      </c>
      <c r="B41" s="15" t="n">
        <v>47515</v>
      </c>
      <c r="C41" s="14" t="inlineStr"/>
      <c r="D41" s="16" t="n">
        <v>0</v>
      </c>
      <c r="E41" s="16" t="n">
        <v>0</v>
      </c>
      <c r="F41" s="16" t="n">
        <v>0</v>
      </c>
      <c r="G41" s="16">
        <f>SUM(D41:F41)</f>
        <v/>
      </c>
      <c r="H41" s="16" t="n">
        <v>0</v>
      </c>
      <c r="I41" s="16" t="n">
        <v>0</v>
      </c>
      <c r="J41" s="16">
        <f>Parámetros!$B$10*Parámetros!$B$12/12</f>
        <v/>
      </c>
      <c r="K41" s="16">
        <f>IF(N40&lt;0,-N40*Parámetros!$B$13/12,0)</f>
        <v/>
      </c>
      <c r="L41" s="16">
        <f>SUM(H41:K41)</f>
        <v/>
      </c>
      <c r="M41" s="16">
        <f>G41-L41</f>
        <v/>
      </c>
      <c r="N41" s="16">
        <f>N40+M41</f>
        <v/>
      </c>
    </row>
    <row r="42">
      <c r="A42" s="14" t="n">
        <v>39</v>
      </c>
      <c r="B42" s="15" t="n">
        <v>47543</v>
      </c>
      <c r="C42" s="14" t="inlineStr"/>
      <c r="D42" s="16" t="n">
        <v>0</v>
      </c>
      <c r="E42" s="16" t="n">
        <v>0</v>
      </c>
      <c r="F42" s="16" t="n">
        <v>0</v>
      </c>
      <c r="G42" s="16">
        <f>SUM(D42:F42)</f>
        <v/>
      </c>
      <c r="H42" s="16" t="n">
        <v>0</v>
      </c>
      <c r="I42" s="16" t="n">
        <v>0</v>
      </c>
      <c r="J42" s="16">
        <f>Parámetros!$B$10*Parámetros!$B$12/12</f>
        <v/>
      </c>
      <c r="K42" s="16">
        <f>IF(N41&lt;0,-N41*Parámetros!$B$13/12,0)</f>
        <v/>
      </c>
      <c r="L42" s="16">
        <f>SUM(H42:K42)</f>
        <v/>
      </c>
      <c r="M42" s="16">
        <f>G42-L42</f>
        <v/>
      </c>
      <c r="N42" s="16">
        <f>N41+M42</f>
        <v/>
      </c>
    </row>
    <row r="43">
      <c r="A43" s="14" t="n">
        <v>40</v>
      </c>
      <c r="B43" s="15" t="n">
        <v>47574</v>
      </c>
      <c r="C43" s="14" t="inlineStr"/>
      <c r="D43" s="16" t="n">
        <v>0</v>
      </c>
      <c r="E43" s="16" t="n">
        <v>0</v>
      </c>
      <c r="F43" s="16" t="n">
        <v>0</v>
      </c>
      <c r="G43" s="16">
        <f>SUM(D43:F43)</f>
        <v/>
      </c>
      <c r="H43" s="16" t="n">
        <v>0</v>
      </c>
      <c r="I43" s="16" t="n">
        <v>0</v>
      </c>
      <c r="J43" s="16">
        <f>Parámetros!$B$10*Parámetros!$B$12/12</f>
        <v/>
      </c>
      <c r="K43" s="16">
        <f>IF(N42&lt;0,-N42*Parámetros!$B$13/12,0)</f>
        <v/>
      </c>
      <c r="L43" s="16">
        <f>SUM(H43:K43)</f>
        <v/>
      </c>
      <c r="M43" s="16">
        <f>G43-L43</f>
        <v/>
      </c>
      <c r="N43" s="16">
        <f>N42+M43</f>
        <v/>
      </c>
    </row>
    <row r="44">
      <c r="A44" s="14" t="n">
        <v>41</v>
      </c>
      <c r="B44" s="15" t="n">
        <v>47604</v>
      </c>
      <c r="C44" s="14" t="inlineStr"/>
      <c r="D44" s="16" t="n">
        <v>0</v>
      </c>
      <c r="E44" s="16" t="n">
        <v>0</v>
      </c>
      <c r="F44" s="16" t="n">
        <v>0</v>
      </c>
      <c r="G44" s="16">
        <f>SUM(D44:F44)</f>
        <v/>
      </c>
      <c r="H44" s="16" t="n">
        <v>0</v>
      </c>
      <c r="I44" s="16" t="n">
        <v>0</v>
      </c>
      <c r="J44" s="16">
        <f>Parámetros!$B$10*Parámetros!$B$12/12</f>
        <v/>
      </c>
      <c r="K44" s="16">
        <f>IF(N43&lt;0,-N43*Parámetros!$B$13/12,0)</f>
        <v/>
      </c>
      <c r="L44" s="16">
        <f>SUM(H44:K44)</f>
        <v/>
      </c>
      <c r="M44" s="16">
        <f>G44-L44</f>
        <v/>
      </c>
      <c r="N44" s="16">
        <f>N43+M44</f>
        <v/>
      </c>
    </row>
    <row r="45">
      <c r="A45" s="14" t="n">
        <v>42</v>
      </c>
      <c r="B45" s="15" t="n">
        <v>47635</v>
      </c>
      <c r="C45" s="14" t="inlineStr">
        <is>
          <t>FAC lote 3</t>
        </is>
      </c>
      <c r="D45" s="16" t="n">
        <v>0</v>
      </c>
      <c r="E45" s="16" t="n">
        <v>0</v>
      </c>
      <c r="F45" s="16" t="n">
        <v>666667</v>
      </c>
      <c r="G45" s="16">
        <f>SUM(D45:F45)</f>
        <v/>
      </c>
      <c r="H45" s="16" t="n">
        <v>0</v>
      </c>
      <c r="I45" s="16" t="n">
        <v>0</v>
      </c>
      <c r="J45" s="16">
        <f>Parámetros!$B$10*Parámetros!$B$12/12</f>
        <v/>
      </c>
      <c r="K45" s="16">
        <f>IF(N44&lt;0,-N44*Parámetros!$B$13/12,0)</f>
        <v/>
      </c>
      <c r="L45" s="16">
        <f>SUM(H45:K45)</f>
        <v/>
      </c>
      <c r="M45" s="16">
        <f>G45-L45</f>
        <v/>
      </c>
      <c r="N45" s="16">
        <f>N44+M45</f>
        <v/>
      </c>
    </row>
    <row r="46">
      <c r="A46" s="14" t="n">
        <v>43</v>
      </c>
      <c r="B46" s="15" t="n">
        <v>47665</v>
      </c>
      <c r="C46" s="14" t="inlineStr"/>
      <c r="D46" s="16" t="n">
        <v>0</v>
      </c>
      <c r="E46" s="16" t="n">
        <v>0</v>
      </c>
      <c r="F46" s="16" t="n">
        <v>0</v>
      </c>
      <c r="G46" s="16">
        <f>SUM(D46:F46)</f>
        <v/>
      </c>
      <c r="H46" s="16" t="n">
        <v>0</v>
      </c>
      <c r="I46" s="16" t="n">
        <v>0</v>
      </c>
      <c r="J46" s="16">
        <f>Parámetros!$B$10*Parámetros!$B$12/12</f>
        <v/>
      </c>
      <c r="K46" s="16">
        <f>IF(N45&lt;0,-N45*Parámetros!$B$13/12,0)</f>
        <v/>
      </c>
      <c r="L46" s="16">
        <f>SUM(H46:K46)</f>
        <v/>
      </c>
      <c r="M46" s="16">
        <f>G46-L46</f>
        <v/>
      </c>
      <c r="N46" s="16">
        <f>N45+M46</f>
        <v/>
      </c>
    </row>
    <row r="47">
      <c r="A47" s="14" t="n">
        <v>44</v>
      </c>
      <c r="B47" s="15" t="n">
        <v>47696</v>
      </c>
      <c r="C47" s="14" t="inlineStr"/>
      <c r="D47" s="16" t="n">
        <v>0</v>
      </c>
      <c r="E47" s="16" t="n">
        <v>0</v>
      </c>
      <c r="F47" s="16" t="n">
        <v>0</v>
      </c>
      <c r="G47" s="16">
        <f>SUM(D47:F47)</f>
        <v/>
      </c>
      <c r="H47" s="16" t="n">
        <v>0</v>
      </c>
      <c r="I47" s="16" t="n">
        <v>0</v>
      </c>
      <c r="J47" s="16">
        <f>Parámetros!$B$10*Parámetros!$B$12/12</f>
        <v/>
      </c>
      <c r="K47" s="16">
        <f>IF(N46&lt;0,-N46*Parámetros!$B$13/12,0)</f>
        <v/>
      </c>
      <c r="L47" s="16">
        <f>SUM(H47:K47)</f>
        <v/>
      </c>
      <c r="M47" s="16">
        <f>G47-L47</f>
        <v/>
      </c>
      <c r="N47" s="16">
        <f>N46+M47</f>
        <v/>
      </c>
    </row>
    <row r="48">
      <c r="A48" s="14" t="n">
        <v>45</v>
      </c>
      <c r="B48" s="15" t="n">
        <v>47727</v>
      </c>
      <c r="C48" s="14" t="inlineStr"/>
      <c r="D48" s="16" t="n">
        <v>0</v>
      </c>
      <c r="E48" s="16" t="n">
        <v>0</v>
      </c>
      <c r="F48" s="16" t="n">
        <v>0</v>
      </c>
      <c r="G48" s="16">
        <f>SUM(D48:F48)</f>
        <v/>
      </c>
      <c r="H48" s="16" t="n">
        <v>0</v>
      </c>
      <c r="I48" s="16" t="n">
        <v>0</v>
      </c>
      <c r="J48" s="16">
        <f>Parámetros!$B$10*Parámetros!$B$12/12</f>
        <v/>
      </c>
      <c r="K48" s="16">
        <f>IF(N47&lt;0,-N47*Parámetros!$B$13/12,0)</f>
        <v/>
      </c>
      <c r="L48" s="16">
        <f>SUM(H48:K48)</f>
        <v/>
      </c>
      <c r="M48" s="16">
        <f>G48-L48</f>
        <v/>
      </c>
      <c r="N48" s="16">
        <f>N47+M48</f>
        <v/>
      </c>
    </row>
    <row r="49">
      <c r="A49" s="14" t="n">
        <v>46</v>
      </c>
      <c r="B49" s="15" t="n">
        <v>47757</v>
      </c>
      <c r="C49" s="14" t="inlineStr"/>
      <c r="D49" s="16" t="n">
        <v>0</v>
      </c>
      <c r="E49" s="16" t="n">
        <v>0</v>
      </c>
      <c r="F49" s="16" t="n">
        <v>0</v>
      </c>
      <c r="G49" s="16">
        <f>SUM(D49:F49)</f>
        <v/>
      </c>
      <c r="H49" s="16" t="n">
        <v>0</v>
      </c>
      <c r="I49" s="16" t="n">
        <v>0</v>
      </c>
      <c r="J49" s="16">
        <f>Parámetros!$B$10*Parámetros!$B$12/12</f>
        <v/>
      </c>
      <c r="K49" s="16">
        <f>IF(N48&lt;0,-N48*Parámetros!$B$13/12,0)</f>
        <v/>
      </c>
      <c r="L49" s="16">
        <f>SUM(H49:K49)</f>
        <v/>
      </c>
      <c r="M49" s="16">
        <f>G49-L49</f>
        <v/>
      </c>
      <c r="N49" s="16">
        <f>N48+M49</f>
        <v/>
      </c>
    </row>
    <row r="50">
      <c r="A50" s="14" t="n">
        <v>47</v>
      </c>
      <c r="B50" s="15" t="n">
        <v>47788</v>
      </c>
      <c r="C50" s="14" t="inlineStr"/>
      <c r="D50" s="16" t="n">
        <v>0</v>
      </c>
      <c r="E50" s="16" t="n">
        <v>0</v>
      </c>
      <c r="F50" s="16" t="n">
        <v>0</v>
      </c>
      <c r="G50" s="16">
        <f>SUM(D50:F50)</f>
        <v/>
      </c>
      <c r="H50" s="16" t="n">
        <v>0</v>
      </c>
      <c r="I50" s="16" t="n">
        <v>0</v>
      </c>
      <c r="J50" s="16">
        <f>Parámetros!$B$10*Parámetros!$B$12/12</f>
        <v/>
      </c>
      <c r="K50" s="16">
        <f>IF(N49&lt;0,-N49*Parámetros!$B$13/12,0)</f>
        <v/>
      </c>
      <c r="L50" s="16">
        <f>SUM(H50:K50)</f>
        <v/>
      </c>
      <c r="M50" s="16">
        <f>G50-L50</f>
        <v/>
      </c>
      <c r="N50" s="16">
        <f>N49+M50</f>
        <v/>
      </c>
    </row>
    <row r="51">
      <c r="A51" s="14" t="n">
        <v>48</v>
      </c>
      <c r="B51" s="15" t="n">
        <v>47818</v>
      </c>
      <c r="C51" s="14" t="inlineStr"/>
      <c r="D51" s="16" t="n">
        <v>0</v>
      </c>
      <c r="E51" s="16" t="n">
        <v>0</v>
      </c>
      <c r="F51" s="16" t="n">
        <v>0</v>
      </c>
      <c r="G51" s="16">
        <f>SUM(D51:F51)</f>
        <v/>
      </c>
      <c r="H51" s="16" t="n">
        <v>0</v>
      </c>
      <c r="I51" s="16" t="n">
        <v>0</v>
      </c>
      <c r="J51" s="16">
        <f>Parámetros!$B$10*Parámetros!$B$12/12</f>
        <v/>
      </c>
      <c r="K51" s="16">
        <f>IF(N50&lt;0,-N50*Parámetros!$B$13/12,0)</f>
        <v/>
      </c>
      <c r="L51" s="16">
        <f>SUM(H51:K51)</f>
        <v/>
      </c>
      <c r="M51" s="16">
        <f>G51-L51</f>
        <v/>
      </c>
      <c r="N51" s="16">
        <f>N50+M51</f>
        <v/>
      </c>
    </row>
    <row r="52">
      <c r="A52" s="14" t="n">
        <v>49</v>
      </c>
      <c r="B52" s="15" t="n">
        <v>47849</v>
      </c>
      <c r="C52" s="14" t="inlineStr"/>
      <c r="D52" s="16" t="n">
        <v>0</v>
      </c>
      <c r="E52" s="16" t="n">
        <v>0</v>
      </c>
      <c r="F52" s="16" t="n">
        <v>0</v>
      </c>
      <c r="G52" s="16">
        <f>SUM(D52:F52)</f>
        <v/>
      </c>
      <c r="H52" s="16" t="n">
        <v>0</v>
      </c>
      <c r="I52" s="16" t="n">
        <v>0</v>
      </c>
      <c r="J52" s="16">
        <f>Parámetros!$B$10*Parámetros!$B$12/12</f>
        <v/>
      </c>
      <c r="K52" s="16">
        <f>IF(N51&lt;0,-N51*Parámetros!$B$13/12,0)</f>
        <v/>
      </c>
      <c r="L52" s="16">
        <f>SUM(H52:K52)</f>
        <v/>
      </c>
      <c r="M52" s="16">
        <f>G52-L52</f>
        <v/>
      </c>
      <c r="N52" s="16">
        <f>N51+M52</f>
        <v/>
      </c>
    </row>
    <row r="53">
      <c r="A53" s="14" t="n">
        <v>50</v>
      </c>
      <c r="B53" s="15" t="n">
        <v>47880</v>
      </c>
      <c r="C53" s="14" t="inlineStr"/>
      <c r="D53" s="16" t="n">
        <v>0</v>
      </c>
      <c r="E53" s="16" t="n">
        <v>0</v>
      </c>
      <c r="F53" s="16" t="n">
        <v>0</v>
      </c>
      <c r="G53" s="16">
        <f>SUM(D53:F53)</f>
        <v/>
      </c>
      <c r="H53" s="16" t="n">
        <v>0</v>
      </c>
      <c r="I53" s="16" t="n">
        <v>0</v>
      </c>
      <c r="J53" s="16">
        <f>Parámetros!$B$10*Parámetros!$B$12/12</f>
        <v/>
      </c>
      <c r="K53" s="16">
        <f>IF(N52&lt;0,-N52*Parámetros!$B$13/12,0)</f>
        <v/>
      </c>
      <c r="L53" s="16">
        <f>SUM(H53:K53)</f>
        <v/>
      </c>
      <c r="M53" s="16">
        <f>G53-L53</f>
        <v/>
      </c>
      <c r="N53" s="16">
        <f>N52+M53</f>
        <v/>
      </c>
    </row>
    <row r="54">
      <c r="A54" s="14" t="n">
        <v>51</v>
      </c>
      <c r="B54" s="15" t="n">
        <v>47908</v>
      </c>
      <c r="C54" s="14" t="inlineStr"/>
      <c r="D54" s="16" t="n">
        <v>0</v>
      </c>
      <c r="E54" s="16" t="n">
        <v>0</v>
      </c>
      <c r="F54" s="16" t="n">
        <v>0</v>
      </c>
      <c r="G54" s="16">
        <f>SUM(D54:F54)</f>
        <v/>
      </c>
      <c r="H54" s="16" t="n">
        <v>0</v>
      </c>
      <c r="I54" s="16" t="n">
        <v>0</v>
      </c>
      <c r="J54" s="16">
        <f>Parámetros!$B$10*Parámetros!$B$12/12</f>
        <v/>
      </c>
      <c r="K54" s="16">
        <f>IF(N53&lt;0,-N53*Parámetros!$B$13/12,0)</f>
        <v/>
      </c>
      <c r="L54" s="16">
        <f>SUM(H54:K54)</f>
        <v/>
      </c>
      <c r="M54" s="16">
        <f>G54-L54</f>
        <v/>
      </c>
      <c r="N54" s="16">
        <f>N53+M54</f>
        <v/>
      </c>
    </row>
    <row r="55">
      <c r="A55" s="14" t="n">
        <v>52</v>
      </c>
      <c r="B55" s="15" t="n">
        <v>47939</v>
      </c>
      <c r="C55" s="14" t="inlineStr"/>
      <c r="D55" s="16" t="n">
        <v>0</v>
      </c>
      <c r="E55" s="16" t="n">
        <v>0</v>
      </c>
      <c r="F55" s="16" t="n">
        <v>0</v>
      </c>
      <c r="G55" s="16">
        <f>SUM(D55:F55)</f>
        <v/>
      </c>
      <c r="H55" s="16" t="n">
        <v>0</v>
      </c>
      <c r="I55" s="16" t="n">
        <v>0</v>
      </c>
      <c r="J55" s="16">
        <f>Parámetros!$B$10*Parámetros!$B$12/12</f>
        <v/>
      </c>
      <c r="K55" s="16">
        <f>IF(N54&lt;0,-N54*Parámetros!$B$13/12,0)</f>
        <v/>
      </c>
      <c r="L55" s="16">
        <f>SUM(H55:K55)</f>
        <v/>
      </c>
      <c r="M55" s="16">
        <f>G55-L55</f>
        <v/>
      </c>
      <c r="N55" s="16">
        <f>N54+M55</f>
        <v/>
      </c>
    </row>
    <row r="56">
      <c r="A56" s="14" t="n">
        <v>53</v>
      </c>
      <c r="B56" s="15" t="n">
        <v>47969</v>
      </c>
      <c r="C56" s="14" t="inlineStr"/>
      <c r="D56" s="16" t="n">
        <v>0</v>
      </c>
      <c r="E56" s="16" t="n">
        <v>0</v>
      </c>
      <c r="F56" s="16" t="n">
        <v>0</v>
      </c>
      <c r="G56" s="16">
        <f>SUM(D56:F56)</f>
        <v/>
      </c>
      <c r="H56" s="16" t="n">
        <v>0</v>
      </c>
      <c r="I56" s="16" t="n">
        <v>0</v>
      </c>
      <c r="J56" s="16">
        <f>Parámetros!$B$10*Parámetros!$B$12/12</f>
        <v/>
      </c>
      <c r="K56" s="16">
        <f>IF(N55&lt;0,-N55*Parámetros!$B$13/12,0)</f>
        <v/>
      </c>
      <c r="L56" s="16">
        <f>SUM(H56:K56)</f>
        <v/>
      </c>
      <c r="M56" s="16">
        <f>G56-L56</f>
        <v/>
      </c>
      <c r="N56" s="16">
        <f>N55+M56</f>
        <v/>
      </c>
    </row>
    <row r="57">
      <c r="A57" s="14" t="n">
        <v>54</v>
      </c>
      <c r="B57" s="15" t="n">
        <v>48000</v>
      </c>
      <c r="C57" s="14" t="inlineStr"/>
      <c r="D57" s="16" t="n">
        <v>0</v>
      </c>
      <c r="E57" s="16" t="n">
        <v>0</v>
      </c>
      <c r="F57" s="16" t="n">
        <v>0</v>
      </c>
      <c r="G57" s="16">
        <f>SUM(D57:F57)</f>
        <v/>
      </c>
      <c r="H57" s="16" t="n">
        <v>0</v>
      </c>
      <c r="I57" s="16" t="n">
        <v>0</v>
      </c>
      <c r="J57" s="16">
        <f>Parámetros!$B$10*Parámetros!$B$12/12</f>
        <v/>
      </c>
      <c r="K57" s="16">
        <f>IF(N56&lt;0,-N56*Parámetros!$B$13/12,0)</f>
        <v/>
      </c>
      <c r="L57" s="16">
        <f>SUM(H57:K57)</f>
        <v/>
      </c>
      <c r="M57" s="16">
        <f>G57-L57</f>
        <v/>
      </c>
      <c r="N57" s="16">
        <f>N56+M57</f>
        <v/>
      </c>
    </row>
    <row r="58">
      <c r="A58" s="14" t="n">
        <v>55</v>
      </c>
      <c r="B58" s="15" t="n">
        <v>48030</v>
      </c>
      <c r="C58" s="14" t="inlineStr"/>
      <c r="D58" s="16" t="n">
        <v>0</v>
      </c>
      <c r="E58" s="16" t="n">
        <v>0</v>
      </c>
      <c r="F58" s="16" t="n">
        <v>0</v>
      </c>
      <c r="G58" s="16">
        <f>SUM(D58:F58)</f>
        <v/>
      </c>
      <c r="H58" s="16" t="n">
        <v>0</v>
      </c>
      <c r="I58" s="16" t="n">
        <v>0</v>
      </c>
      <c r="J58" s="16">
        <f>Parámetros!$B$10*Parámetros!$B$12/12</f>
        <v/>
      </c>
      <c r="K58" s="16">
        <f>IF(N57&lt;0,-N57*Parámetros!$B$13/12,0)</f>
        <v/>
      </c>
      <c r="L58" s="16">
        <f>SUM(H58:K58)</f>
        <v/>
      </c>
      <c r="M58" s="16">
        <f>G58-L58</f>
        <v/>
      </c>
      <c r="N58" s="16">
        <f>N57+M58</f>
        <v/>
      </c>
    </row>
    <row r="59">
      <c r="A59" s="14" t="n">
        <v>56</v>
      </c>
      <c r="B59" s="15" t="n">
        <v>48061</v>
      </c>
      <c r="C59" s="14" t="inlineStr"/>
      <c r="D59" s="16" t="n">
        <v>0</v>
      </c>
      <c r="E59" s="16" t="n">
        <v>0</v>
      </c>
      <c r="F59" s="16" t="n">
        <v>0</v>
      </c>
      <c r="G59" s="16">
        <f>SUM(D59:F59)</f>
        <v/>
      </c>
      <c r="H59" s="16" t="n">
        <v>0</v>
      </c>
      <c r="I59" s="16" t="n">
        <v>0</v>
      </c>
      <c r="J59" s="16">
        <f>Parámetros!$B$10*Parámetros!$B$12/12</f>
        <v/>
      </c>
      <c r="K59" s="16">
        <f>IF(N58&lt;0,-N58*Parámetros!$B$13/12,0)</f>
        <v/>
      </c>
      <c r="L59" s="16">
        <f>SUM(H59:K59)</f>
        <v/>
      </c>
      <c r="M59" s="16">
        <f>G59-L59</f>
        <v/>
      </c>
      <c r="N59" s="16">
        <f>N58+M59</f>
        <v/>
      </c>
    </row>
    <row r="60">
      <c r="A60" s="14" t="n">
        <v>57</v>
      </c>
      <c r="B60" s="15" t="n">
        <v>48092</v>
      </c>
      <c r="C60" s="14" t="inlineStr"/>
      <c r="D60" s="16" t="n">
        <v>0</v>
      </c>
      <c r="E60" s="16" t="n">
        <v>0</v>
      </c>
      <c r="F60" s="16" t="n">
        <v>0</v>
      </c>
      <c r="G60" s="16">
        <f>SUM(D60:F60)</f>
        <v/>
      </c>
      <c r="H60" s="16" t="n">
        <v>0</v>
      </c>
      <c r="I60" s="16" t="n">
        <v>0</v>
      </c>
      <c r="J60" s="16">
        <f>Parámetros!$B$10*Parámetros!$B$12/12</f>
        <v/>
      </c>
      <c r="K60" s="16">
        <f>IF(N59&lt;0,-N59*Parámetros!$B$13/12,0)</f>
        <v/>
      </c>
      <c r="L60" s="16">
        <f>SUM(H60:K60)</f>
        <v/>
      </c>
      <c r="M60" s="16">
        <f>G60-L60</f>
        <v/>
      </c>
      <c r="N60" s="16">
        <f>N59+M60</f>
        <v/>
      </c>
    </row>
    <row r="61">
      <c r="A61" s="14" t="n">
        <v>58</v>
      </c>
      <c r="B61" s="15" t="n">
        <v>48122</v>
      </c>
      <c r="C61" s="14" t="inlineStr"/>
      <c r="D61" s="16" t="n">
        <v>0</v>
      </c>
      <c r="E61" s="16" t="n">
        <v>0</v>
      </c>
      <c r="F61" s="16" t="n">
        <v>0</v>
      </c>
      <c r="G61" s="16">
        <f>SUM(D61:F61)</f>
        <v/>
      </c>
      <c r="H61" s="16" t="n">
        <v>0</v>
      </c>
      <c r="I61" s="16" t="n">
        <v>0</v>
      </c>
      <c r="J61" s="16">
        <f>Parámetros!$B$10*Parámetros!$B$12/12</f>
        <v/>
      </c>
      <c r="K61" s="16">
        <f>IF(N60&lt;0,-N60*Parámetros!$B$13/12,0)</f>
        <v/>
      </c>
      <c r="L61" s="16">
        <f>SUM(H61:K61)</f>
        <v/>
      </c>
      <c r="M61" s="16">
        <f>G61-L61</f>
        <v/>
      </c>
      <c r="N61" s="16">
        <f>N60+M61</f>
        <v/>
      </c>
    </row>
    <row r="62">
      <c r="A62" s="14" t="n">
        <v>59</v>
      </c>
      <c r="B62" s="15" t="n">
        <v>48153</v>
      </c>
      <c r="C62" s="14" t="inlineStr"/>
      <c r="D62" s="16" t="n">
        <v>0</v>
      </c>
      <c r="E62" s="16" t="n">
        <v>0</v>
      </c>
      <c r="F62" s="16" t="n">
        <v>0</v>
      </c>
      <c r="G62" s="16">
        <f>SUM(D62:F62)</f>
        <v/>
      </c>
      <c r="H62" s="16" t="n">
        <v>0</v>
      </c>
      <c r="I62" s="16" t="n">
        <v>0</v>
      </c>
      <c r="J62" s="16">
        <f>Parámetros!$B$10*Parámetros!$B$12/12</f>
        <v/>
      </c>
      <c r="K62" s="16">
        <f>IF(N61&lt;0,-N61*Parámetros!$B$13/12,0)</f>
        <v/>
      </c>
      <c r="L62" s="16">
        <f>SUM(H62:K62)</f>
        <v/>
      </c>
      <c r="M62" s="16">
        <f>G62-L62</f>
        <v/>
      </c>
      <c r="N62" s="16">
        <f>N61+M62</f>
        <v/>
      </c>
    </row>
    <row r="63">
      <c r="A63" s="14" t="n">
        <v>60</v>
      </c>
      <c r="B63" s="15" t="n">
        <v>48183</v>
      </c>
      <c r="C63" s="14" t="inlineStr"/>
      <c r="D63" s="16" t="n">
        <v>0</v>
      </c>
      <c r="E63" s="16" t="n">
        <v>0</v>
      </c>
      <c r="F63" s="16" t="n">
        <v>0</v>
      </c>
      <c r="G63" s="16">
        <f>SUM(D63:F63)</f>
        <v/>
      </c>
      <c r="H63" s="16" t="n">
        <v>0</v>
      </c>
      <c r="I63" s="16" t="n">
        <v>0</v>
      </c>
      <c r="J63" s="16">
        <f>Parámetros!$B$10*Parámetros!$B$12/12</f>
        <v/>
      </c>
      <c r="K63" s="16">
        <f>IF(N62&lt;0,-N62*Parámetros!$B$13/12,0)</f>
        <v/>
      </c>
      <c r="L63" s="16">
        <f>SUM(H63:K63)</f>
        <v/>
      </c>
      <c r="M63" s="16">
        <f>G63-L63</f>
        <v/>
      </c>
      <c r="N63" s="16">
        <f>N62+M63</f>
        <v/>
      </c>
    </row>
    <row r="64">
      <c r="A64" s="14" t="n">
        <v>61</v>
      </c>
      <c r="B64" s="15" t="n">
        <v>48214</v>
      </c>
      <c r="C64" s="14" t="inlineStr"/>
      <c r="D64" s="16" t="n">
        <v>0</v>
      </c>
      <c r="E64" s="16" t="n">
        <v>0</v>
      </c>
      <c r="F64" s="16" t="n">
        <v>0</v>
      </c>
      <c r="G64" s="16">
        <f>SUM(D64:F64)</f>
        <v/>
      </c>
      <c r="H64" s="16" t="n">
        <v>0</v>
      </c>
      <c r="I64" s="16" t="n">
        <v>0</v>
      </c>
      <c r="J64" s="16">
        <f>Parámetros!$B$10*Parámetros!$B$12/12</f>
        <v/>
      </c>
      <c r="K64" s="16">
        <f>IF(N63&lt;0,-N63*Parámetros!$B$13/12,0)</f>
        <v/>
      </c>
      <c r="L64" s="16">
        <f>SUM(H64:K64)</f>
        <v/>
      </c>
      <c r="M64" s="16">
        <f>G64-L64</f>
        <v/>
      </c>
      <c r="N64" s="16">
        <f>N63+M64</f>
        <v/>
      </c>
    </row>
    <row r="65">
      <c r="A65" s="14" t="n">
        <v>62</v>
      </c>
      <c r="B65" s="15" t="n">
        <v>48245</v>
      </c>
      <c r="C65" s="14" t="inlineStr"/>
      <c r="D65" s="16" t="n">
        <v>0</v>
      </c>
      <c r="E65" s="16" t="n">
        <v>0</v>
      </c>
      <c r="F65" s="16" t="n">
        <v>0</v>
      </c>
      <c r="G65" s="16">
        <f>SUM(D65:F65)</f>
        <v/>
      </c>
      <c r="H65" s="16" t="n">
        <v>0</v>
      </c>
      <c r="I65" s="16" t="n">
        <v>0</v>
      </c>
      <c r="J65" s="16">
        <f>Parámetros!$B$10*Parámetros!$B$12/12</f>
        <v/>
      </c>
      <c r="K65" s="16">
        <f>IF(N64&lt;0,-N64*Parámetros!$B$13/12,0)</f>
        <v/>
      </c>
      <c r="L65" s="16">
        <f>SUM(H65:K65)</f>
        <v/>
      </c>
      <c r="M65" s="16">
        <f>G65-L65</f>
        <v/>
      </c>
      <c r="N65" s="16">
        <f>N64+M65</f>
        <v/>
      </c>
    </row>
    <row r="66">
      <c r="A66" s="14" t="n">
        <v>63</v>
      </c>
      <c r="B66" s="15" t="n">
        <v>48274</v>
      </c>
      <c r="C66" s="14" t="inlineStr"/>
      <c r="D66" s="16" t="n">
        <v>0</v>
      </c>
      <c r="E66" s="16" t="n">
        <v>0</v>
      </c>
      <c r="F66" s="16" t="n">
        <v>0</v>
      </c>
      <c r="G66" s="16">
        <f>SUM(D66:F66)</f>
        <v/>
      </c>
      <c r="H66" s="16" t="n">
        <v>0</v>
      </c>
      <c r="I66" s="16" t="n">
        <v>0</v>
      </c>
      <c r="J66" s="16">
        <f>Parámetros!$B$10*Parámetros!$B$12/12</f>
        <v/>
      </c>
      <c r="K66" s="16">
        <f>IF(N65&lt;0,-N65*Parámetros!$B$13/12,0)</f>
        <v/>
      </c>
      <c r="L66" s="16">
        <f>SUM(H66:K66)</f>
        <v/>
      </c>
      <c r="M66" s="16">
        <f>G66-L66</f>
        <v/>
      </c>
      <c r="N66" s="16">
        <f>N65+M66</f>
        <v/>
      </c>
    </row>
    <row r="67">
      <c r="A67" s="14" t="n">
        <v>64</v>
      </c>
      <c r="B67" s="15" t="n">
        <v>48305</v>
      </c>
      <c r="C67" s="14" t="inlineStr"/>
      <c r="D67" s="16" t="n">
        <v>0</v>
      </c>
      <c r="E67" s="16" t="n">
        <v>0</v>
      </c>
      <c r="F67" s="16" t="n">
        <v>0</v>
      </c>
      <c r="G67" s="16">
        <f>SUM(D67:F67)</f>
        <v/>
      </c>
      <c r="H67" s="16" t="n">
        <v>0</v>
      </c>
      <c r="I67" s="16" t="n">
        <v>0</v>
      </c>
      <c r="J67" s="16">
        <f>Parámetros!$B$10*Parámetros!$B$12/12</f>
        <v/>
      </c>
      <c r="K67" s="16">
        <f>IF(N66&lt;0,-N66*Parámetros!$B$13/12,0)</f>
        <v/>
      </c>
      <c r="L67" s="16">
        <f>SUM(H67:K67)</f>
        <v/>
      </c>
      <c r="M67" s="16">
        <f>G67-L67</f>
        <v/>
      </c>
      <c r="N67" s="16">
        <f>N66+M67</f>
        <v/>
      </c>
    </row>
    <row r="68">
      <c r="A68" s="14" t="n">
        <v>65</v>
      </c>
      <c r="B68" s="15" t="n">
        <v>48335</v>
      </c>
      <c r="C68" s="14" t="inlineStr"/>
      <c r="D68" s="16" t="n">
        <v>0</v>
      </c>
      <c r="E68" s="16" t="n">
        <v>0</v>
      </c>
      <c r="F68" s="16" t="n">
        <v>0</v>
      </c>
      <c r="G68" s="16">
        <f>SUM(D68:F68)</f>
        <v/>
      </c>
      <c r="H68" s="16" t="n">
        <v>0</v>
      </c>
      <c r="I68" s="16" t="n">
        <v>0</v>
      </c>
      <c r="J68" s="16">
        <f>Parámetros!$B$10*Parámetros!$B$12/12</f>
        <v/>
      </c>
      <c r="K68" s="16">
        <f>IF(N67&lt;0,-N67*Parámetros!$B$13/12,0)</f>
        <v/>
      </c>
      <c r="L68" s="16">
        <f>SUM(H68:K68)</f>
        <v/>
      </c>
      <c r="M68" s="16">
        <f>G68-L68</f>
        <v/>
      </c>
      <c r="N68" s="16">
        <f>N67+M68</f>
        <v/>
      </c>
    </row>
    <row r="69">
      <c r="A69" s="14" t="n">
        <v>66</v>
      </c>
      <c r="B69" s="15" t="n">
        <v>48366</v>
      </c>
      <c r="C69" s="14" t="inlineStr"/>
      <c r="D69" s="16" t="n">
        <v>0</v>
      </c>
      <c r="E69" s="16" t="n">
        <v>0</v>
      </c>
      <c r="F69" s="16" t="n">
        <v>0</v>
      </c>
      <c r="G69" s="16">
        <f>SUM(D69:F69)</f>
        <v/>
      </c>
      <c r="H69" s="16" t="n">
        <v>0</v>
      </c>
      <c r="I69" s="16" t="n">
        <v>0</v>
      </c>
      <c r="J69" s="16">
        <f>Parámetros!$B$10*Parámetros!$B$12/12</f>
        <v/>
      </c>
      <c r="K69" s="16">
        <f>IF(N68&lt;0,-N68*Parámetros!$B$13/12,0)</f>
        <v/>
      </c>
      <c r="L69" s="16">
        <f>SUM(H69:K69)</f>
        <v/>
      </c>
      <c r="M69" s="16">
        <f>G69-L69</f>
        <v/>
      </c>
      <c r="N69" s="16">
        <f>N68+M69</f>
        <v/>
      </c>
    </row>
    <row r="70">
      <c r="C70" s="4" t="inlineStr">
        <is>
          <t>TOTAL</t>
        </is>
      </c>
      <c r="D70" s="17">
        <f>SUM(D4:D69)</f>
        <v/>
      </c>
      <c r="E70" s="17">
        <f>SUM(E4:E69)</f>
        <v/>
      </c>
      <c r="F70" s="17">
        <f>SUM(F4:F69)</f>
        <v/>
      </c>
      <c r="G70" s="17">
        <f>SUM(G4:G69)</f>
        <v/>
      </c>
      <c r="H70" s="17">
        <f>SUM(H4:H69)</f>
        <v/>
      </c>
      <c r="I70" s="17">
        <f>SUM(I4:I69)</f>
        <v/>
      </c>
      <c r="J70" s="17">
        <f>SUM(J4:J69)</f>
        <v/>
      </c>
      <c r="K70" s="17">
        <f>SUM(K4:K69)</f>
        <v/>
      </c>
      <c r="L70" s="17">
        <f>SUM(L4:L69)</f>
        <v/>
      </c>
      <c r="M70" s="17">
        <f>SUM(M4:M69)</f>
        <v/>
      </c>
      <c r="N70" s="5">
        <f>N69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>
      <c r="A1" s="8" t="inlineStr">
        <is>
          <t>DATOS CLAVE EXTRAÍDOS DE LA DOCUMENTACIÓN</t>
        </is>
      </c>
    </row>
    <row r="3">
      <c r="A3" s="4" t="inlineStr">
        <is>
          <t>Cliente</t>
        </is>
      </c>
      <c r="B3" s="18" t="inlineStr">
        <is>
          <t>DHMİ – State Airports Authority (Devlet Hava Meydanları İşletmesi), Turquía</t>
        </is>
      </c>
    </row>
    <row r="4">
      <c r="A4" s="4" t="inlineStr">
        <is>
          <t>Expediente / TRN</t>
        </is>
      </c>
      <c r="B4" s="18" t="inlineStr">
        <is>
          <t>2026/760533</t>
        </is>
      </c>
    </row>
    <row r="5">
      <c r="A5" s="4" t="inlineStr">
        <is>
          <t>Objeto</t>
        </is>
      </c>
      <c r="B5" s="18" t="inlineStr">
        <is>
          <t>Suministro e instalación de 21 sistemas ILS/DME + 1 sistema LLZ/DME</t>
        </is>
      </c>
    </row>
    <row r="6">
      <c r="A6" s="4" t="inlineStr">
        <is>
          <t>Alcance (aeropuertos)</t>
        </is>
      </c>
      <c r="B6" s="18" t="inlineStr">
        <is>
          <t>Yozgat, Gümüşhane-Bayburt, Trabzon(2), Muğla Dalaman, Milas-Bodrum(2), Kastamonu, Kütahya Zafer(2), Sinop, Tekirdağ-Çorlu, Ağrı, Ankara Esenboğa(2), Estambul Atatürk(2), İzmir(2), Bingöl, Diyarbakır, +1 LLZ/DME Dalaman</t>
        </is>
      </c>
    </row>
    <row r="7">
      <c r="A7" s="4" t="inlineStr">
        <is>
          <t>Fecha límite de oferta</t>
        </is>
      </c>
      <c r="B7" s="18" t="inlineStr">
        <is>
          <t>28/07/2026 11:00 (aclaraciones hasta 08/07/2026)</t>
        </is>
      </c>
    </row>
    <row r="8">
      <c r="A8" s="4" t="inlineStr">
        <is>
          <t>Validez de la oferta</t>
        </is>
      </c>
      <c r="B8" s="18" t="inlineStr">
        <is>
          <t>180 días</t>
        </is>
      </c>
    </row>
    <row r="9">
      <c r="A9" s="4" t="inlineStr">
        <is>
          <t>Moneda admitida</t>
        </is>
      </c>
      <c r="B9" s="18" t="inlineStr">
        <is>
          <t>TRY / USD / EUR</t>
        </is>
      </c>
    </row>
    <row r="10">
      <c r="A10" s="4" t="inlineStr">
        <is>
          <t>Duración del contrato</t>
        </is>
      </c>
      <c r="B10" s="18" t="inlineStr">
        <is>
          <t>1.935 días naturales (~5,3 años) desde la firma</t>
        </is>
      </c>
    </row>
    <row r="11">
      <c r="A11" s="4" t="inlineStr">
        <is>
          <t>Plazo de entrega</t>
        </is>
      </c>
      <c r="B11" s="18" t="inlineStr">
        <is>
          <t>Máx. 3 embarques en máx. 840 días naturales</t>
        </is>
      </c>
    </row>
    <row r="12">
      <c r="A12" s="4" t="inlineStr">
        <is>
          <t>Incoterm (contratista extranjero)</t>
        </is>
      </c>
      <c r="B12" s="18" t="inlineStr">
        <is>
          <t>DPU – Delivered at Place Unloaded</t>
        </is>
      </c>
    </row>
    <row r="13">
      <c r="A13" s="4" t="inlineStr">
        <is>
          <t>Cobros</t>
        </is>
      </c>
      <c r="B13" s="18" t="inlineStr">
        <is>
          <t>40% embarque · 50% formación+PAC · 10% FAC</t>
        </is>
      </c>
    </row>
    <row r="14">
      <c r="A14" s="4" t="inlineStr">
        <is>
          <t>Anticipo de cliente</t>
        </is>
      </c>
      <c r="B14" s="18" t="inlineStr">
        <is>
          <t>NO (Art. 13.1)</t>
        </is>
      </c>
    </row>
    <row r="15">
      <c r="A15" s="4" t="inlineStr">
        <is>
          <t>Pago vía</t>
        </is>
      </c>
      <c r="B15" s="18" t="inlineStr">
        <is>
          <t>Carta de crédito irrevocable (L/C); pago en máx. 20 días tras acta</t>
        </is>
      </c>
    </row>
    <row r="16">
      <c r="A16" s="4" t="inlineStr">
        <is>
          <t>FAC</t>
        </is>
      </c>
      <c r="B16" s="18" t="inlineStr">
        <is>
          <t>Solicitud 12 meses después de la PAC</t>
        </is>
      </c>
    </row>
    <row r="17">
      <c r="A17" s="4" t="inlineStr">
        <is>
          <t>Garantía</t>
        </is>
      </c>
      <c r="B17" s="18" t="inlineStr">
        <is>
          <t>2 años tras FAC</t>
        </is>
      </c>
    </row>
    <row r="18">
      <c r="A18" s="4" t="inlineStr">
        <is>
          <t>Revisión de precios</t>
        </is>
      </c>
      <c r="B18" s="18" t="inlineStr">
        <is>
          <t>NO (Art. 14 / 43) — precio fijo</t>
        </is>
      </c>
    </row>
    <row r="19">
      <c r="A19" s="4" t="inlineStr">
        <is>
          <t>Subcontratación</t>
        </is>
      </c>
      <c r="B19" s="18" t="inlineStr">
        <is>
          <t>NO permitida (Art. 15) — todo lo ejecuta el contratista</t>
        </is>
      </c>
    </row>
    <row r="20">
      <c r="A20" s="4" t="inlineStr">
        <is>
          <t>UTE / Consorcio</t>
        </is>
      </c>
      <c r="B20" s="18" t="inlineStr">
        <is>
          <t>UTE (joint venture) SÍ; consorcios NO</t>
        </is>
      </c>
    </row>
    <row r="21">
      <c r="A21" s="4" t="inlineStr">
        <is>
          <t>Aval provisional (bid bond)</t>
        </is>
      </c>
      <c r="B21" s="18" t="inlineStr">
        <is>
          <t>≥3% del precio de oferta (~600.000 €)</t>
        </is>
      </c>
    </row>
    <row r="22">
      <c r="A22" s="4" t="inlineStr">
        <is>
          <t>Aval de cumplimiento</t>
        </is>
      </c>
      <c r="B22" s="18" t="inlineStr">
        <is>
          <t>6% del valor de contrato (~1.200.000 €)</t>
        </is>
      </c>
    </row>
    <row r="23">
      <c r="A23" s="4" t="inlineStr">
        <is>
          <t>Solvencia – experiencia</t>
        </is>
      </c>
      <c r="B23" s="18" t="inlineStr">
        <is>
          <t>1 contrato similar ≥20% del precio ofertado (CVOR/DME/DVOR...) últimos 5 años (~5 M€)</t>
        </is>
      </c>
    </row>
    <row r="24">
      <c r="A24" s="4" t="inlineStr">
        <is>
          <t>Solvencia – calidad</t>
        </is>
      </c>
      <c r="B24" s="18" t="inlineStr">
        <is>
          <t>ISO 9000+ acreditada por TÜRKAK o miembro IAF</t>
        </is>
      </c>
    </row>
    <row r="25">
      <c r="A25" s="4" t="inlineStr">
        <is>
          <t>Requisito sistema</t>
        </is>
      </c>
      <c r="B25" s="18" t="inlineStr">
        <is>
          <t>ILS/DME de la misma marca ya operativo en pista CAT III + Flight Check Report</t>
        </is>
      </c>
    </row>
    <row r="26">
      <c r="A26" s="4" t="inlineStr">
        <is>
          <t>Proveedores</t>
        </is>
      </c>
      <c r="B26" s="18" t="inlineStr">
        <is>
          <t>INDRA (ILS/DME) · IACIT (DME)</t>
        </is>
      </c>
    </row>
    <row r="27">
      <c r="A27" s="4" t="inlineStr">
        <is>
          <t>Factibilidad interna</t>
        </is>
      </c>
      <c r="B27" s="18" t="inlineStr">
        <is>
          <t>Valoración global 53% — 'APTO' (borderline); financiación/avales marcada como riesgo</t>
        </is>
      </c>
    </row>
    <row r="28">
      <c r="A28" s="4" t="inlineStr">
        <is>
          <t>Estado de la oferta</t>
        </is>
      </c>
      <c r="B28" s="18" t="inlineStr">
        <is>
          <t>EN PREPARACIÓN — sin lista de precios cumplimentada ni modelo económico de Turquía</t>
        </is>
      </c>
    </row>
    <row r="30">
      <c r="A30" s="19" t="inlineStr">
        <is>
          <t>LISTA DE CANTIDADES (Birim Fiyat Teklif Cetveli)</t>
        </is>
      </c>
    </row>
    <row r="31">
      <c r="A31" s="20" t="inlineStr">
        <is>
          <t>Concepto</t>
        </is>
      </c>
      <c r="B31" s="20" t="inlineStr">
        <is>
          <t>Cantidad</t>
        </is>
      </c>
    </row>
    <row r="32">
      <c r="A32" t="inlineStr">
        <is>
          <t>Localizer (equipo + sistema de antena)</t>
        </is>
      </c>
      <c r="B32" t="n">
        <v>22</v>
      </c>
    </row>
    <row r="33">
      <c r="A33" t="inlineStr">
        <is>
          <t>Glide-Path (equipo + sistema de antena)</t>
        </is>
      </c>
      <c r="B33" t="n">
        <v>21</v>
      </c>
    </row>
    <row r="34">
      <c r="A34" t="inlineStr">
        <is>
          <t>DME (equipo + sistema de antena)</t>
        </is>
      </c>
      <c r="B34" t="n">
        <v>22</v>
      </c>
    </row>
    <row r="35">
      <c r="A35" t="inlineStr">
        <is>
          <t>Unidad de control/estado remoto LLZ/GP/DME</t>
        </is>
      </c>
      <c r="B35" t="n">
        <v>22</v>
      </c>
    </row>
    <row r="36">
      <c r="A36" t="inlineStr">
        <is>
          <t>Control remoto (PC)</t>
        </is>
      </c>
      <c r="B36" t="n">
        <v>65</v>
      </c>
    </row>
    <row r="37">
      <c r="A37" t="inlineStr">
        <is>
          <t>Mantenimiento remoto (portátil)</t>
        </is>
      </c>
      <c r="B37" t="n">
        <v>22</v>
      </c>
    </row>
    <row r="38">
      <c r="A38" t="inlineStr">
        <is>
          <t>Shelter LLZ y GP</t>
        </is>
      </c>
      <c r="B38" t="n">
        <v>43</v>
      </c>
    </row>
    <row r="39">
      <c r="A39" t="inlineStr">
        <is>
          <t>Set repuestos ILS (full) + carga artificial</t>
        </is>
      </c>
      <c r="B39" t="n">
        <v>21</v>
      </c>
    </row>
    <row r="40">
      <c r="A40" t="inlineStr">
        <is>
          <t>Set repuestos Localizer (full) + carga artificial</t>
        </is>
      </c>
      <c r="B40" t="n">
        <v>1</v>
      </c>
    </row>
    <row r="41">
      <c r="A41" t="inlineStr">
        <is>
          <t>Set repuestos DME</t>
        </is>
      </c>
      <c r="B41" t="n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42" customWidth="1" min="3" max="3"/>
    <col width="80" customWidth="1" min="4" max="4"/>
  </cols>
  <sheetData>
    <row r="1">
      <c r="A1" s="21" t="inlineStr">
        <is>
          <t>LO RARO / BANDERAS ROJAS</t>
        </is>
      </c>
    </row>
    <row r="3">
      <c r="A3" s="13" t="inlineStr">
        <is>
          <t>#</t>
        </is>
      </c>
      <c r="B3" s="13" t="inlineStr">
        <is>
          <t>Severidad</t>
        </is>
      </c>
      <c r="C3" s="13" t="inlineStr">
        <is>
          <t>Hallazgo</t>
        </is>
      </c>
      <c r="D3" s="13" t="inlineStr">
        <is>
          <t>Por qué importa para el cashflow / la decisión</t>
        </is>
      </c>
    </row>
    <row r="4">
      <c r="A4" s="22" t="n">
        <v>1</v>
      </c>
      <c r="B4" s="23" t="inlineStr">
        <is>
          <t>ALTA</t>
        </is>
      </c>
      <c r="C4" s="24" t="inlineStr">
        <is>
          <t>Sin anticipo + cobro muy diferido (40/50/10) durante ~5,3 años</t>
        </is>
      </c>
      <c r="D4" s="25" t="inlineStr">
        <is>
          <t>GECI debe prefinanciar el 100% de la compra a Indra antes de cobrar nada. El 40% solo llega contra embarque; el 50% tras instalar+formar+PAC (meses después) y el 10% un año después de la PAC. El pico de caja negativa es enorme.</t>
        </is>
      </c>
    </row>
    <row r="5">
      <c r="A5" s="22" t="n">
        <v>2</v>
      </c>
      <c r="B5" s="23" t="inlineStr">
        <is>
          <t>ALTA</t>
        </is>
      </c>
      <c r="C5" s="24" t="inlineStr">
        <is>
          <t>Precio FIJO sin revisión (Art. 14/43) en un contrato de 5,3 años</t>
        </is>
      </c>
      <c r="D5" s="25" t="inlineStr">
        <is>
          <t>Cualquier subida de coste de Indra/IACIT, logística, aduanas o FX a lo largo de 5 años NO es recuperable. Si además se oferta en TRY, el riesgo divisa/inflación turca es crítico.</t>
        </is>
      </c>
    </row>
    <row r="6">
      <c r="A6" s="22" t="n">
        <v>3</v>
      </c>
      <c r="B6" s="23" t="inlineStr">
        <is>
          <t>ALTA</t>
        </is>
      </c>
      <c r="C6" s="24" t="inlineStr">
        <is>
          <t>No existe oferta económica de Turquía</t>
        </is>
      </c>
      <c r="D6" s="25" t="inlineStr">
        <is>
          <t>La carpeta 01_Economical_Proposals solo tiene plantillas de OTROS países (Angola, Fiji, Perú, Geci Española...). Para una oferta que vence el 28/07/2026 no hay coste ni precio montado: el cashflow se basa en estimaciones.</t>
        </is>
      </c>
    </row>
    <row r="7">
      <c r="A7" s="22" t="n">
        <v>4</v>
      </c>
      <c r="B7" s="26" t="inlineStr">
        <is>
          <t>MEDIA</t>
        </is>
      </c>
      <c r="C7" s="24" t="inlineStr">
        <is>
          <t>Cifras de valor incoherentes entre sí</t>
        </is>
      </c>
      <c r="D7" s="25" t="inlineStr">
        <is>
          <t>El requisito de experiencia (20% ≈ 5 M€) implica ~25 M€ de oferta, pero los avales (3%≈600k€ y 6%≈1,2M€) implican ~20 M€. Hay que fijar el valor estimado real del contrato.</t>
        </is>
      </c>
    </row>
    <row r="8">
      <c r="A8" s="22" t="n">
        <v>5</v>
      </c>
      <c r="B8" s="26" t="inlineStr">
        <is>
          <t>MEDIA</t>
        </is>
      </c>
      <c r="C8" s="24" t="inlineStr">
        <is>
          <t>Avales inmovilizados grandes y largos</t>
        </is>
      </c>
      <c r="D8" s="25" t="inlineStr">
        <is>
          <t>Bid bond ~600k€ + performance bond ~1,2M€ (6%). El de cumplimiento solo se libera al 50% tras PAC y el resto tras 2 años de garantía: línea de avales ocupada años.</t>
        </is>
      </c>
    </row>
    <row r="9">
      <c r="A9" s="22" t="n">
        <v>6</v>
      </c>
      <c r="B9" s="26" t="inlineStr">
        <is>
          <t>MEDIA</t>
        </is>
      </c>
      <c r="C9" s="24" t="inlineStr">
        <is>
          <t>Dependencia de proveedor único (Indra) con certificaciones críticas</t>
        </is>
      </c>
      <c r="D9" s="25" t="inlineStr">
        <is>
          <t>Sin Authorised Dealer Certificate + Manufacturer's Certificate + evidencia CAT III + Flight Check Report de Indra, NO se puede ni licitar. Single point of failure y posible apalancamiento de Indra en precio/plazos.</t>
        </is>
      </c>
    </row>
    <row r="10">
      <c r="A10" s="22" t="n">
        <v>7</v>
      </c>
      <c r="B10" s="26" t="inlineStr">
        <is>
          <t>MEDIA</t>
        </is>
      </c>
      <c r="C10" s="24" t="inlineStr">
        <is>
          <t>Prohibida la subcontratación (Art. 15)</t>
        </is>
      </c>
      <c r="D10" s="25" t="inlineStr">
        <is>
          <t>El modelo GECI (comprar a Indra/IACIT e instalar) debe estructurarse como compra de suministro o como UTE; los consorcios NO se admiten. Riesgo legal/estructura a cerrar antes de ofertar.</t>
        </is>
      </c>
    </row>
    <row r="11">
      <c r="A11" s="22" t="n">
        <v>8</v>
      </c>
      <c r="B11" s="26" t="inlineStr">
        <is>
          <t>MEDIA</t>
        </is>
      </c>
      <c r="C11" s="24" t="inlineStr">
        <is>
          <t>Aduanas/importación y DPU a cargo del contratista</t>
        </is>
      </c>
      <c r="D11" s="25" t="inlineStr">
        <is>
          <t>Transporte, despacho, almacenaje y permisos de importación los gestiona/adelanta GECI (impuestos los paga DHMİ pero el proceso lo financia el contratista). Más capital circulante y complejidad.</t>
        </is>
      </c>
    </row>
    <row r="12">
      <c r="A12" s="22" t="n">
        <v>9</v>
      </c>
      <c r="B12" s="27" t="inlineStr">
        <is>
          <t>BAJA</t>
        </is>
      </c>
      <c r="C12" s="24" t="inlineStr">
        <is>
          <t>Factibilidad interna 53% — 'APTO' pero borderline</t>
        </is>
      </c>
      <c r="D12" s="25" t="inlineStr">
        <is>
          <t>La propia hoja F-POI-16/15 puntúa 53% y marca financiación (aval y adquisiciones) como riesgo. Coherente con el problema de caja.</t>
        </is>
      </c>
    </row>
    <row r="13">
      <c r="A13" s="22" t="n">
        <v>10</v>
      </c>
      <c r="B13" s="27" t="inlineStr">
        <is>
          <t>BAJA</t>
        </is>
      </c>
      <c r="C13" s="24" t="inlineStr">
        <is>
          <t>Cantidades a verificar (PC=65, shelters=43, repuestos Localizer=1)</t>
        </is>
      </c>
      <c r="D13" s="25" t="inlineStr">
        <is>
          <t>Reconcilian con 21 ILS+1 LLZ, pero conviene validar 65 PCs de control remoto y la asimetría de sets de repuestos antes de cifrar.</t>
        </is>
      </c>
    </row>
    <row r="14">
      <c r="A14" s="22" t="n">
        <v>11</v>
      </c>
      <c r="B14" s="27" t="inlineStr">
        <is>
          <t>BAJA</t>
        </is>
      </c>
      <c r="C14" s="24" t="inlineStr">
        <is>
          <t>PAC/FAC 'pueden' ser por aeropuerto</t>
        </is>
      </c>
      <c r="D14" s="25" t="inlineStr">
        <is>
          <t>Si se negocia aceptación separada por aeropuerto, se adelantan cobros y mejora la caja; pero es discrecional del cliente ('may'), no garantizado.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2026-06-26T07:37:38Z</dcterms:created>
  <dcterms:modified xsi:type="dcterms:W3CDTF">2026-06-26T07:37:38Z</dcterms:modified>
</cp:coreProperties>
</file>